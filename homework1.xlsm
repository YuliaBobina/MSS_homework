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я так рад что поступил в идэу\мсс и NX\"/>
    </mc:Choice>
  </mc:AlternateContent>
  <bookViews>
    <workbookView xWindow="0" yWindow="0" windowWidth="28800" windowHeight="11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AI15" i="1" l="1"/>
  <c r="AA15" i="1"/>
  <c r="AB15" i="1"/>
  <c r="AC15" i="1"/>
  <c r="AD15" i="1"/>
  <c r="AE15" i="1"/>
  <c r="AF15" i="1"/>
  <c r="AG15" i="1"/>
  <c r="AH15" i="1"/>
  <c r="AA12" i="1"/>
  <c r="AB12" i="1"/>
  <c r="AC12" i="1" s="1"/>
  <c r="AD12" i="1" s="1"/>
  <c r="AE12" i="1" s="1"/>
  <c r="AF12" i="1" s="1"/>
  <c r="AG12" i="1" s="1"/>
  <c r="AH12" i="1" s="1"/>
  <c r="AI12" i="1" s="1"/>
  <c r="AJ12" i="1" s="1"/>
  <c r="Z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C4" i="1" l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G12" i="1"/>
  <c r="C3" i="1"/>
  <c r="G15" i="1" l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<sst xmlns="http://schemas.openxmlformats.org/spreadsheetml/2006/main" count="14" uniqueCount="13">
  <si>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</si>
  <si>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</si>
  <si>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</si>
  <si>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</si>
  <si>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</si>
  <si>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</si>
  <si>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</si>
  <si>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</si>
  <si>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</si>
  <si>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</si>
  <si>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</si>
  <si>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 xml:space="preserve"> 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</si>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</sst>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F-49E8-A8CC-1C38E99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258535</xdr:colOff>
      <xdr:row>39</xdr:row>
      <xdr:rowOff>136071</xdr:rowOff>
    </xdr:from>
    <xdr:to>
      <xdr:col>18</xdr:col>
      <xdr:colOff>231321</xdr:colOff>
      <xdr:row>41</xdr:row>
      <xdr:rowOff>27214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>
        <xdr:sp macro="" textlink="">
          <xdr:nvSpPr>
            <xdr:cNvPr id="6" name="TextBox 1"/>
            <xdr:cNvSpPr txBox="1"/>
          </xdr:nvSpPr>
          <xdr:spPr>
            <a:xfrm>
              <a:off x="8899071" y="7565571"/>
              <a:ext cx="435429" cy="27214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0.02393</cdr:y>
    </cdr:from>
    <cdr:to>
      <cdr:x>0.13618</cdr:x>
      <cdr:y>0.13916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104535"/>
              <a:ext cx="606720" cy="503479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K19"/>
  <sheetViews>
    <sheetView tabSelected="1" zoomScale="70" zoomScaleNormal="70" workbookViewId="0">
      <selection activeCell="L17" sqref="L17"/>
    </sheetView>
  </sheetViews>
  <sheetFormatPr defaultRowHeight="15" x14ac:dyDescent="0.25"/>
  <cols>
    <col min="3" max="3" width="9.5703125" bestFit="1" customWidth="1"/>
    <col min="6" max="6" width="6.85546875" bestFit="1" customWidth="1"/>
    <col min="7" max="7" width="6.85546875" customWidth="1"/>
    <col min="8" max="36" width="6.85546875" bestFit="1" customWidth="1"/>
  </cols>
  <sheetData>
    <row r="2" spans="1:37" x14ac:dyDescent="0.25">
      <c r="B2" s="1" t="s">
        <v>0</v>
      </c>
      <c r="C2" s="1">
        <v>0.1</v>
      </c>
    </row>
    <row r="3" spans="1:37" x14ac:dyDescent="0.25">
      <c r="B3" s="1" t="s">
        <v>1</v>
      </c>
      <c r="C3" s="4">
        <f>C2/30</f>
        <v>3.3333333333333335E-3</v>
      </c>
    </row>
    <row r="4" spans="1:37" x14ac:dyDescent="0.25">
      <c r="B4" s="1" t="s">
        <v>2</v>
      </c>
      <c r="C4" s="4">
        <f>(C8*C7*C3^2)/(2*C9)</f>
        <v>0.4333333333333334</v>
      </c>
    </row>
    <row r="5" spans="1:37" x14ac:dyDescent="0.25">
      <c r="B5" s="1" t="s">
        <v>3</v>
      </c>
      <c r="C5" s="1">
        <v>5000</v>
      </c>
      <c r="D5">
        <v>5000.2333333333345</v>
      </c>
    </row>
    <row r="6" spans="1:37" x14ac:dyDescent="0.25">
      <c r="A6" s="5"/>
      <c r="B6" s="5"/>
      <c r="C6" s="5"/>
    </row>
    <row r="7" spans="1:37" x14ac:dyDescent="0.25">
      <c r="B7" s="1" t="s">
        <v>4</v>
      </c>
      <c r="C7" s="1">
        <v>460</v>
      </c>
    </row>
    <row r="8" spans="1:37" x14ac:dyDescent="0.25">
      <c r="B8" s="1" t="s">
        <v>5</v>
      </c>
      <c r="C8" s="1">
        <v>7800</v>
      </c>
    </row>
    <row r="9" spans="1:37" x14ac:dyDescent="0.25">
      <c r="B9" s="1" t="s">
        <v>6</v>
      </c>
      <c r="C9" s="1">
        <v>46</v>
      </c>
    </row>
    <row r="10" spans="1:37" x14ac:dyDescent="0.25">
      <c r="A10" s="5"/>
      <c r="B10" s="5"/>
      <c r="C10" s="5"/>
      <c r="D10" s="5"/>
    </row>
    <row r="11" spans="1:37" x14ac:dyDescent="0.25">
      <c r="B11" s="1" t="s">
        <v>8</v>
      </c>
      <c r="C11" s="1">
        <v>92000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25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Z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ref="AA12" si="1">Z12+$C$3</f>
        <v>6.9999999999999993E-2</v>
      </c>
      <c r="AB12" s="2">
        <f t="shared" ref="AB12" si="2">AA12+$C$3</f>
        <v>7.333333333333332E-2</v>
      </c>
      <c r="AC12" s="2">
        <f t="shared" ref="AC12" si="3">AB12+$C$3</f>
        <v>7.6666666666666647E-2</v>
      </c>
      <c r="AD12" s="2">
        <f t="shared" ref="AD12" si="4">AC12+$C$3</f>
        <v>7.9999999999999974E-2</v>
      </c>
      <c r="AE12" s="2">
        <f t="shared" ref="AE12" si="5">AD12+$C$3</f>
        <v>8.3333333333333301E-2</v>
      </c>
      <c r="AF12" s="2">
        <f t="shared" ref="AF12" si="6">AE12+$C$3</f>
        <v>8.6666666666666628E-2</v>
      </c>
      <c r="AG12" s="2">
        <f t="shared" ref="AG12" si="7">AF12+$C$3</f>
        <v>8.9999999999999955E-2</v>
      </c>
      <c r="AH12" s="2">
        <f t="shared" ref="AH12" si="8">AG12+$C$3</f>
        <v>9.3333333333333282E-2</v>
      </c>
      <c r="AI12" s="2">
        <f t="shared" ref="AI12" si="9">AH12+$C$3</f>
        <v>9.6666666666666609E-2</v>
      </c>
      <c r="AJ12" s="2">
        <f t="shared" ref="AJ12" si="10">AI12+$C$3</f>
        <v>9.9999999999999936E-2</v>
      </c>
      <c r="AK12" s="2"/>
    </row>
    <row r="13" spans="1:37" x14ac:dyDescent="0.25">
      <c r="E13" t="s">
        <v>7</v>
      </c>
      <c r="F13" s="3">
        <f>(F16/C9)*C3+G13</f>
        <v>299.99997763108735</v>
      </c>
      <c r="G13" s="6">
        <v>293.33331096442066</v>
      </c>
      <c r="H13" s="6">
        <v>286.6666443611611</v>
      </c>
      <c r="I13" s="6">
        <v>279.99997782112894</v>
      </c>
      <c r="J13" s="6">
        <v>273.33331134396514</v>
      </c>
      <c r="K13" s="6">
        <v>266.66664492913264</v>
      </c>
      <c r="L13" s="6">
        <v>259.99997857591751</v>
      </c>
      <c r="M13" s="6">
        <v>253.3333122834313</v>
      </c>
      <c r="N13" s="6">
        <v>246.66664605061328</v>
      </c>
      <c r="O13" s="6">
        <v>239.99997987623377</v>
      </c>
      <c r="P13" s="6">
        <v>233.33331375889719</v>
      </c>
      <c r="Q13" s="6">
        <v>226.66664769704656</v>
      </c>
      <c r="R13" s="6">
        <v>219.9999816889673</v>
      </c>
      <c r="S13" s="6">
        <v>213.33331573279273</v>
      </c>
      <c r="T13" s="6">
        <v>206.66664982650872</v>
      </c>
      <c r="U13" s="6">
        <v>199.99998396796005</v>
      </c>
      <c r="V13" s="6">
        <v>193.33331815485587</v>
      </c>
      <c r="W13" s="6">
        <v>186.6666523847768</v>
      </c>
      <c r="X13" s="6">
        <v>179.99998665518126</v>
      </c>
      <c r="Y13" s="6">
        <v>173.33332096341309</v>
      </c>
      <c r="Z13" s="6">
        <v>166.66665530670878</v>
      </c>
      <c r="AA13" s="6">
        <v>159.9999896822055</v>
      </c>
      <c r="AB13" s="6">
        <v>153.33332408694912</v>
      </c>
      <c r="AC13" s="6">
        <v>146.66665851790265</v>
      </c>
      <c r="AD13" s="6">
        <v>139.99999297195473</v>
      </c>
      <c r="AE13" s="6">
        <v>133.33332744592857</v>
      </c>
      <c r="AF13" s="6">
        <v>126.66666193659087</v>
      </c>
      <c r="AG13" s="6">
        <v>119.99999644066111</v>
      </c>
      <c r="AH13" s="6">
        <v>113.3333309548207</v>
      </c>
      <c r="AI13" s="6">
        <v>106.66666547572241</v>
      </c>
      <c r="AJ13" s="6">
        <v>100</v>
      </c>
    </row>
    <row r="15" spans="1:37" x14ac:dyDescent="0.25">
      <c r="E15" t="s">
        <v>10</v>
      </c>
      <c r="G15" s="7">
        <f>G13+(($C$9*$C$4)/($C$8*$C$7))*((H13-2*G13+F13)/($C$3^2))</f>
        <v>293.33331099612423</v>
      </c>
      <c r="H15" s="7">
        <f t="shared" ref="H15:Z15" si="11">H13+(($C$9*$C$4)/($C$8*$C$7))*((I13-2*H13+G13)/($C$3^2))</f>
        <v>286.6666443927748</v>
      </c>
      <c r="I15" s="7">
        <f t="shared" si="11"/>
        <v>279.99997785256312</v>
      </c>
      <c r="J15" s="7">
        <f t="shared" si="11"/>
        <v>273.33331137513079</v>
      </c>
      <c r="K15" s="7">
        <f t="shared" si="11"/>
        <v>266.66664495994132</v>
      </c>
      <c r="L15" s="7">
        <f t="shared" si="11"/>
        <v>259.99997860628196</v>
      </c>
      <c r="M15" s="7">
        <f t="shared" si="11"/>
        <v>253.3333123132654</v>
      </c>
      <c r="N15" s="7">
        <f t="shared" si="11"/>
        <v>246.66664607983253</v>
      </c>
      <c r="O15" s="7">
        <f t="shared" si="11"/>
        <v>239.99997990475524</v>
      </c>
      <c r="P15" s="7">
        <f t="shared" si="11"/>
        <v>233.33331378664016</v>
      </c>
      <c r="Q15" s="7">
        <f t="shared" si="11"/>
        <v>226.66664772393224</v>
      </c>
      <c r="R15" s="7">
        <f t="shared" si="11"/>
        <v>219.99998171491964</v>
      </c>
      <c r="S15" s="7">
        <f t="shared" si="11"/>
        <v>213.33331575773801</v>
      </c>
      <c r="T15" s="7">
        <f t="shared" si="11"/>
        <v>206.66664985037639</v>
      </c>
      <c r="U15" s="7">
        <f t="shared" si="11"/>
        <v>199.9999839906823</v>
      </c>
      <c r="V15" s="7">
        <f t="shared" si="11"/>
        <v>193.33331817636844</v>
      </c>
      <c r="W15" s="7">
        <f t="shared" si="11"/>
        <v>186.66665240501857</v>
      </c>
      <c r="X15" s="7">
        <f t="shared" si="11"/>
        <v>179.99998667409494</v>
      </c>
      <c r="Y15" s="7">
        <f t="shared" si="11"/>
        <v>173.33332098094502</v>
      </c>
      <c r="Z15" s="7">
        <f t="shared" si="11"/>
        <v>166.66665532280928</v>
      </c>
      <c r="AA15" s="7">
        <f t="shared" ref="AA15" si="12">AA13+(($C$9*$C$4)/($C$8*$C$7))*((AB13-2*AA13+Z13)/($C$3^2))</f>
        <v>159.99998969682895</v>
      </c>
      <c r="AB15" s="7">
        <f t="shared" ref="AB15" si="13">AB13+(($C$9*$C$4)/($C$8*$C$7))*((AC13-2*AB13+AA13)/($C$3^2))</f>
        <v>153.33332410005409</v>
      </c>
      <c r="AC15" s="7">
        <f t="shared" ref="AC15" si="14">AC13+(($C$9*$C$4)/($C$8*$C$7))*((AD13-2*AC13+AB13)/($C$3^2))</f>
        <v>146.66665852945192</v>
      </c>
      <c r="AD15" s="7">
        <f t="shared" ref="AD15" si="15">AD13+(($C$9*$C$4)/($C$8*$C$7))*((AE13-2*AD13+AC13)/($C$3^2))</f>
        <v>139.99999298191563</v>
      </c>
      <c r="AE15" s="7">
        <f t="shared" ref="AE15" si="16">AE13+(($C$9*$C$4)/($C$8*$C$7))*((AF13-2*AE13+AD13)/($C$3^2))</f>
        <v>133.33332745427279</v>
      </c>
      <c r="AF15" s="7">
        <f t="shared" ref="AF15" si="17">AF13+(($C$9*$C$4)/($C$8*$C$7))*((AG13-2*AF13+AE13)/($C$3^2))</f>
        <v>126.66666194329484</v>
      </c>
      <c r="AG15" s="7">
        <f t="shared" ref="AG15" si="18">AG13+(($C$9*$C$4)/($C$8*$C$7))*((AH13-2*AG13+AF13)/($C$3^2))</f>
        <v>119.99999644570579</v>
      </c>
      <c r="AH15" s="7">
        <f t="shared" ref="AH15:AI15" si="19">AH13+(($C$9*$C$4)/($C$8*$C$7))*((AI13-2*AH13+AG13)/($C$3^2))</f>
        <v>113.33333095819177</v>
      </c>
      <c r="AI15" s="7">
        <f t="shared" si="19"/>
        <v>106.66666547741035</v>
      </c>
    </row>
    <row r="16" spans="1:37" x14ac:dyDescent="0.25">
      <c r="E16" t="s">
        <v>12</v>
      </c>
      <c r="F16">
        <f>C11</f>
        <v>92000</v>
      </c>
      <c r="G16">
        <f>-$C$9*((G13-F13)/$C$3)</f>
        <v>92000.000000000247</v>
      </c>
      <c r="H16">
        <f t="shared" ref="H16:AI16" si="20">-$C$9*((H13-G13)/$C$3)</f>
        <v>91999.999124981885</v>
      </c>
      <c r="I16">
        <f t="shared" si="20"/>
        <v>91999.998252443896</v>
      </c>
      <c r="J16">
        <f t="shared" si="20"/>
        <v>91999.997384860442</v>
      </c>
      <c r="K16">
        <f t="shared" si="20"/>
        <v>91999.996524688366</v>
      </c>
      <c r="L16">
        <f t="shared" si="20"/>
        <v>91999.995674368853</v>
      </c>
      <c r="M16">
        <f t="shared" si="20"/>
        <v>91999.994836309721</v>
      </c>
      <c r="N16">
        <f t="shared" si="20"/>
        <v>91999.994012888623</v>
      </c>
      <c r="O16">
        <f t="shared" si="20"/>
        <v>91999.993206437299</v>
      </c>
      <c r="P16">
        <f t="shared" si="20"/>
        <v>91999.992419244736</v>
      </c>
      <c r="Q16">
        <f t="shared" si="20"/>
        <v>91999.991653538746</v>
      </c>
      <c r="R16">
        <f t="shared" si="20"/>
        <v>91999.990911493791</v>
      </c>
      <c r="S16">
        <f t="shared" si="20"/>
        <v>91999.990195209044</v>
      </c>
      <c r="T16">
        <f t="shared" si="20"/>
        <v>91999.989506719328</v>
      </c>
      <c r="U16">
        <f t="shared" si="20"/>
        <v>91999.988847971617</v>
      </c>
      <c r="V16">
        <f t="shared" si="20"/>
        <v>91999.988220837593</v>
      </c>
      <c r="W16">
        <f t="shared" si="20"/>
        <v>91999.987627091265</v>
      </c>
      <c r="X16">
        <f t="shared" si="20"/>
        <v>91999.987068418384</v>
      </c>
      <c r="Y16">
        <f t="shared" si="20"/>
        <v>91999.986546400789</v>
      </c>
      <c r="Z16">
        <f t="shared" si="20"/>
        <v>91999.986062519471</v>
      </c>
      <c r="AA16">
        <f t="shared" si="20"/>
        <v>91999.985618145278</v>
      </c>
      <c r="AB16">
        <f t="shared" si="20"/>
        <v>91999.985214537985</v>
      </c>
      <c r="AC16">
        <f t="shared" si="20"/>
        <v>91999.984852841313</v>
      </c>
      <c r="AD16">
        <f t="shared" si="20"/>
        <v>91999.984534081304</v>
      </c>
      <c r="AE16">
        <f t="shared" si="20"/>
        <v>91999.984259160876</v>
      </c>
      <c r="AF16">
        <f t="shared" si="20"/>
        <v>91999.984028860315</v>
      </c>
      <c r="AG16">
        <f t="shared" si="20"/>
        <v>91999.98384383072</v>
      </c>
      <c r="AH16">
        <f t="shared" si="20"/>
        <v>91999.983704597675</v>
      </c>
      <c r="AI16">
        <f t="shared" si="20"/>
        <v>91999.983611556323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Евгений Дубянский</cp:lastModifiedBy>
  <dcterms:created xsi:type="dcterms:W3CDTF">2021-09-14T21:31:27Z</dcterms:created>
  <dcterms:modified xsi:type="dcterms:W3CDTF">2021-09-15T19:57:58Z</dcterms:modified>
</cp:coreProperties>
</file>