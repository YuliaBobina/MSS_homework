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60" windowWidth="20115" windowHeight="8010"/>
  </bookViews>
  <sheets>
    <sheet name="&quot;Явная&quot; схема" sheetId="1" r:id="rId1"/>
    <sheet name="&quot;Неявная&quot; схема" sheetId="2" r:id="rId2"/>
  </sheets>
  <externalReferences>
    <externalReference r:id="rId3"/>
  </externalReferences>
  <calcPr calcId="145621" iterate="1"/>
  <fileRecoveryPr repairLoad="1"/>
</workbook>
</file>

<file path=xl/calcChain.xml><?xml version="1.0" encoding="utf-8"?>
<calcChain xmlns="http://schemas.openxmlformats.org/spreadsheetml/2006/main">
  <c r="G6" i="1" l="1"/>
  <c r="AJ13" i="2"/>
  <c r="H17" i="2" l="1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G17" i="2"/>
  <c r="C5" i="2" l="1"/>
  <c r="AJ13" i="1"/>
  <c r="F13" i="1"/>
  <c r="C4" i="1"/>
  <c r="C4" i="2"/>
  <c r="F13" i="2"/>
  <c r="F20" i="2" s="1"/>
  <c r="AJ15" i="2"/>
  <c r="C16" i="2" l="1"/>
  <c r="F21" i="2"/>
  <c r="H21" i="2"/>
  <c r="L21" i="2"/>
  <c r="P21" i="2"/>
  <c r="T21" i="2"/>
  <c r="X21" i="2"/>
  <c r="AB21" i="2"/>
  <c r="AF21" i="2"/>
  <c r="I21" i="2"/>
  <c r="M21" i="2"/>
  <c r="Q21" i="2"/>
  <c r="U21" i="2"/>
  <c r="Y21" i="2"/>
  <c r="AC21" i="2"/>
  <c r="AG21" i="2"/>
  <c r="J21" i="2"/>
  <c r="N21" i="2"/>
  <c r="R21" i="2"/>
  <c r="V21" i="2"/>
  <c r="Z21" i="2"/>
  <c r="AD21" i="2"/>
  <c r="AH21" i="2"/>
  <c r="G21" i="2"/>
  <c r="K21" i="2"/>
  <c r="O21" i="2"/>
  <c r="S21" i="2"/>
  <c r="W21" i="2"/>
  <c r="AA21" i="2"/>
  <c r="AE21" i="2"/>
  <c r="AI21" i="2"/>
  <c r="G15" i="1"/>
  <c r="AH15" i="1"/>
  <c r="AD15" i="1"/>
  <c r="Z15" i="1"/>
  <c r="V15" i="1"/>
  <c r="R15" i="1"/>
  <c r="N15" i="1"/>
  <c r="J15" i="1"/>
  <c r="AG15" i="1"/>
  <c r="AC15" i="1"/>
  <c r="Y15" i="1"/>
  <c r="Q15" i="1"/>
  <c r="M15" i="1"/>
  <c r="I15" i="1"/>
  <c r="U15" i="1"/>
  <c r="AF15" i="1"/>
  <c r="AB15" i="1"/>
  <c r="X15" i="1"/>
  <c r="T15" i="1"/>
  <c r="P15" i="1"/>
  <c r="L15" i="1"/>
  <c r="H15" i="1"/>
  <c r="AI15" i="1"/>
  <c r="AE15" i="1"/>
  <c r="AA15" i="1"/>
  <c r="W15" i="1"/>
  <c r="S15" i="1"/>
  <c r="O15" i="1"/>
  <c r="K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1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G20" i="2" l="1"/>
  <c r="C17" i="2"/>
  <c r="G19" i="2"/>
  <c r="H20" i="2" l="1"/>
  <c r="H19" i="2"/>
  <c r="I20" i="2" l="1"/>
  <c r="I19" i="2"/>
  <c r="J20" i="2" l="1"/>
  <c r="J19" i="2"/>
  <c r="K19" i="2" l="1"/>
  <c r="K20" i="2"/>
  <c r="L20" i="2" l="1"/>
  <c r="L19" i="2"/>
  <c r="M20" i="2" l="1"/>
  <c r="M19" i="2"/>
  <c r="N20" i="2" l="1"/>
  <c r="N19" i="2"/>
  <c r="O20" i="2" l="1"/>
  <c r="O19" i="2"/>
  <c r="P20" i="2" l="1"/>
  <c r="P19" i="2"/>
  <c r="Q20" i="2" l="1"/>
  <c r="Q19" i="2"/>
  <c r="R20" i="2" l="1"/>
  <c r="R19" i="2"/>
  <c r="S20" i="2" l="1"/>
  <c r="S19" i="2"/>
  <c r="T20" i="2" l="1"/>
  <c r="T19" i="2"/>
  <c r="U20" i="2" l="1"/>
  <c r="U19" i="2"/>
  <c r="V20" i="2" l="1"/>
  <c r="V19" i="2"/>
  <c r="W20" i="2" l="1"/>
  <c r="W19" i="2"/>
  <c r="X20" i="2" l="1"/>
  <c r="X19" i="2"/>
  <c r="Y20" i="2" l="1"/>
  <c r="Y19" i="2"/>
  <c r="Z20" i="2" l="1"/>
  <c r="Z19" i="2"/>
  <c r="AA19" i="2" l="1"/>
  <c r="AA20" i="2"/>
  <c r="AB20" i="2" l="1"/>
  <c r="AB19" i="2"/>
  <c r="AC19" i="2" l="1"/>
  <c r="AC20" i="2"/>
  <c r="AD20" i="2" l="1"/>
  <c r="AD19" i="2"/>
  <c r="AE19" i="2" l="1"/>
  <c r="AE20" i="2"/>
  <c r="AF20" i="2" l="1"/>
  <c r="AF19" i="2"/>
  <c r="AG19" i="2" l="1"/>
  <c r="AG20" i="2"/>
  <c r="AH20" i="2" l="1"/>
  <c r="AH19" i="2"/>
  <c r="AI19" i="2" l="1"/>
  <c r="AI20" i="2"/>
  <c r="AI15" i="2" l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<sst xmlns="http://schemas.openxmlformats.org/spreadsheetml/2006/main" count="32" uniqueCount="19">
  <si>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</si>
  <si>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</si>
  <si>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</si>
  <si>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</si>
  <si>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</si>
  <si>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</si>
  <si>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</si>
  <si>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</si>
  <si>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</si>
  <si>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</si>
  <si>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</si>
  <si>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 xml:space="preserve"> </t>
  </si>
  <si>
    <t>A</t>
  </si>
  <si>
    <t>B</t>
  </si>
  <si>
    <t>C</t>
  </si>
  <si>
    <t>q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</si>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</sst>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'"Явная"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'"Явная" схема'!$F$13:$AJ$13</c:f>
              <c:numCache>
                <c:formatCode>General</c:formatCode>
                <c:ptCount val="31"/>
                <c:pt idx="0">
                  <c:v>300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59456"/>
        <c:axId val="155013504"/>
      </c:scatterChart>
      <c:valAx>
        <c:axId val="103459456"/>
        <c:scaling>
          <c:orientation val="minMax"/>
          <c:max val="0.1"/>
          <c:min val="0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55013504"/>
        <c:crosses val="autoZero"/>
        <c:crossBetween val="midCat"/>
      </c:valAx>
      <c:valAx>
        <c:axId val="155013504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03459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'"Неявная"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'"Неявная" схема'!$F$13:$AJ$13</c:f>
              <c:numCache>
                <c:formatCode>General</c:formatCode>
                <c:ptCount val="31"/>
                <c:pt idx="0">
                  <c:v>300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63616"/>
        <c:axId val="132065920"/>
      </c:scatterChart>
      <c:valAx>
        <c:axId val="132063616"/>
        <c:scaling>
          <c:orientation val="minMax"/>
          <c:max val="0.1"/>
          <c:min val="0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32065920"/>
        <c:crosses val="autoZero"/>
        <c:crossBetween val="midCat"/>
      </c:valAx>
      <c:valAx>
        <c:axId val="132065920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32063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Неявная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'"Неявная"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'"Неявная" схема'!$F$13:$AJ$13</c:f>
              <c:numCache>
                <c:formatCode>General</c:formatCode>
                <c:ptCount val="31"/>
                <c:pt idx="0">
                  <c:v>300</c:v>
                </c:pt>
                <c:pt idx="30">
                  <c:v>100</c:v>
                </c:pt>
              </c:numCache>
            </c:numRef>
          </c:yVal>
          <c:smooth val="1"/>
        </c:ser>
        <c:ser>
          <c:idx val="1"/>
          <c:order val="1"/>
          <c:tx>
            <c:v>Явная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'"Явная"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'"Явная" схема'!$F$13:$AJ$13</c:f>
              <c:numCache>
                <c:formatCode>General</c:formatCode>
                <c:ptCount val="31"/>
                <c:pt idx="0">
                  <c:v>300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26528"/>
        <c:axId val="199928064"/>
      </c:scatterChart>
      <c:valAx>
        <c:axId val="199926528"/>
        <c:scaling>
          <c:orientation val="minMax"/>
          <c:max val="0.1"/>
          <c:min val="0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99928064"/>
        <c:crosses val="autoZero"/>
        <c:crossBetween val="midCat"/>
      </c:valAx>
      <c:valAx>
        <c:axId val="199928064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99926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23</xdr:row>
      <xdr:rowOff>0</xdr:rowOff>
    </xdr:from>
    <xdr:to>
      <xdr:col>14</xdr:col>
      <xdr:colOff>321468</xdr:colOff>
      <xdr:row>45</xdr:row>
      <xdr:rowOff>50007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23811</xdr:colOff>
      <xdr:row>23</xdr:row>
      <xdr:rowOff>50006</xdr:rowOff>
    </xdr:from>
    <xdr:ext cx="440530" cy="2381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3059905" y="44315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𝑻</m:t>
                    </m:r>
                    <m:r>
                      <a:rPr lang="en-US" sz="1100" b="1" i="1">
                        <a:latin typeface="Cambria Math"/>
                      </a:rPr>
                      <m:t>,[</m:t>
                    </m:r>
                    <m:r>
                      <a:rPr lang="en-US" sz="1100" b="1" i="1">
                        <a:latin typeface="Cambria Math"/>
                      </a:rPr>
                      <m:t>𝑪</m:t>
                    </m:r>
                    <m:r>
                      <a:rPr lang="en-US" sz="11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3059905" y="44315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13</xdr:col>
      <xdr:colOff>154780</xdr:colOff>
      <xdr:row>43</xdr:row>
      <xdr:rowOff>154781</xdr:rowOff>
    </xdr:from>
    <xdr:ext cx="569117" cy="2286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7000874" y="83462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14:m>
                <m:oMath xmlns:m="http://schemas.openxmlformats.org/officeDocument/2006/math">
                  <m:r>
                    <a:rPr lang="en-US" sz="1100" b="1" i="1">
                      <a:latin typeface="Cambria Math"/>
                    </a:rPr>
                    <m:t>,[</m:t>
                  </m:r>
                  <m:r>
                    <a:rPr lang="en-US" sz="1100" b="1" i="1">
                      <a:latin typeface="Cambria Math"/>
                    </a:rPr>
                    <m:t>𝒎</m:t>
                  </m:r>
                  <m:r>
                    <a:rPr lang="en-US" sz="1100" b="1" i="1">
                      <a:latin typeface="Cambria Math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7000874" y="83462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:r>
                <a:rPr lang="en-US" sz="1100" b="1" i="0">
                  <a:latin typeface="Cambria Math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47625</xdr:rowOff>
        </xdr:from>
        <xdr:to>
          <xdr:col>12</xdr:col>
          <xdr:colOff>266700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2</xdr:row>
          <xdr:rowOff>9525</xdr:rowOff>
        </xdr:from>
        <xdr:to>
          <xdr:col>15</xdr:col>
          <xdr:colOff>342900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26</xdr:row>
      <xdr:rowOff>0</xdr:rowOff>
    </xdr:from>
    <xdr:to>
      <xdr:col>13</xdr:col>
      <xdr:colOff>310885</xdr:colOff>
      <xdr:row>48</xdr:row>
      <xdr:rowOff>50007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23811</xdr:colOff>
      <xdr:row>26</xdr:row>
      <xdr:rowOff>50006</xdr:rowOff>
    </xdr:from>
    <xdr:ext cx="440530" cy="23812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706811" y="50030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𝑻</m:t>
                    </m:r>
                    <m:r>
                      <a:rPr lang="en-US" sz="1100" b="1" i="1">
                        <a:latin typeface="Cambria Math"/>
                      </a:rPr>
                      <m:t>,[</m:t>
                    </m:r>
                    <m:r>
                      <a:rPr lang="en-US" sz="1100" b="1" i="1">
                        <a:latin typeface="Cambria Math"/>
                      </a:rPr>
                      <m:t>𝑪</m:t>
                    </m:r>
                    <m:r>
                      <a:rPr lang="en-US" sz="11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706811" y="50030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12</xdr:col>
      <xdr:colOff>281780</xdr:colOff>
      <xdr:row>46</xdr:row>
      <xdr:rowOff>154781</xdr:rowOff>
    </xdr:from>
    <xdr:ext cx="569117" cy="22860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7647780" y="89177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14:m>
                <m:oMath xmlns:m="http://schemas.openxmlformats.org/officeDocument/2006/math">
                  <m:r>
                    <a:rPr lang="en-US" sz="1100" b="1" i="1">
                      <a:latin typeface="Cambria Math"/>
                    </a:rPr>
                    <m:t>,[</m:t>
                  </m:r>
                  <m:r>
                    <a:rPr lang="en-US" sz="1100" b="1" i="1">
                      <a:latin typeface="Cambria Math"/>
                    </a:rPr>
                    <m:t>𝒎</m:t>
                  </m:r>
                  <m:r>
                    <a:rPr lang="en-US" sz="1100" b="1" i="1">
                      <a:latin typeface="Cambria Math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7647780" y="89177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:r>
                <a:rPr lang="en-US" sz="1100" b="1" i="0">
                  <a:latin typeface="Cambria Math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</xdr:row>
          <xdr:rowOff>38100</xdr:rowOff>
        </xdr:from>
        <xdr:to>
          <xdr:col>8</xdr:col>
          <xdr:colOff>381000</xdr:colOff>
          <xdr:row>3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2</xdr:row>
          <xdr:rowOff>28575</xdr:rowOff>
        </xdr:from>
        <xdr:to>
          <xdr:col>11</xdr:col>
          <xdr:colOff>514350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26</xdr:row>
      <xdr:rowOff>0</xdr:rowOff>
    </xdr:from>
    <xdr:to>
      <xdr:col>22</xdr:col>
      <xdr:colOff>310885</xdr:colOff>
      <xdr:row>48</xdr:row>
      <xdr:rowOff>50007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15</xdr:col>
      <xdr:colOff>23811</xdr:colOff>
      <xdr:row>26</xdr:row>
      <xdr:rowOff>50006</xdr:rowOff>
    </xdr:from>
    <xdr:ext cx="440530" cy="23812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TextBox 10"/>
            <xdr:cNvSpPr txBox="1"/>
          </xdr:nvSpPr>
          <xdr:spPr>
            <a:xfrm>
              <a:off x="9231311" y="50030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𝑻</m:t>
                    </m:r>
                    <m:r>
                      <a:rPr lang="en-US" sz="1100" b="1" i="1">
                        <a:latin typeface="Cambria Math"/>
                      </a:rPr>
                      <m:t>,[</m:t>
                    </m:r>
                    <m:r>
                      <a:rPr lang="en-US" sz="1100" b="1" i="1">
                        <a:latin typeface="Cambria Math"/>
                      </a:rPr>
                      <m:t>𝑪</m:t>
                    </m:r>
                    <m:r>
                      <a:rPr lang="en-US" sz="11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11" name="TextBox 10"/>
            <xdr:cNvSpPr txBox="1"/>
          </xdr:nvSpPr>
          <xdr:spPr>
            <a:xfrm>
              <a:off x="9231311" y="50030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21</xdr:col>
      <xdr:colOff>281780</xdr:colOff>
      <xdr:row>46</xdr:row>
      <xdr:rowOff>154781</xdr:rowOff>
    </xdr:from>
    <xdr:ext cx="569117" cy="22860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2" name="TextBox 11"/>
            <xdr:cNvSpPr txBox="1"/>
          </xdr:nvSpPr>
          <xdr:spPr>
            <a:xfrm>
              <a:off x="13172280" y="89177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14:m>
                <m:oMath xmlns:m="http://schemas.openxmlformats.org/officeDocument/2006/math">
                  <m:r>
                    <a:rPr lang="en-US" sz="1100" b="1" i="1">
                      <a:latin typeface="Cambria Math"/>
                    </a:rPr>
                    <m:t>,[</m:t>
                  </m:r>
                  <m:r>
                    <a:rPr lang="en-US" sz="1100" b="1" i="1">
                      <a:latin typeface="Cambria Math"/>
                    </a:rPr>
                    <m:t>𝒎</m:t>
                  </m:r>
                  <m:r>
                    <a:rPr lang="en-US" sz="1100" b="1" i="1">
                      <a:latin typeface="Cambria Math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12" name="TextBox 11"/>
            <xdr:cNvSpPr txBox="1"/>
          </xdr:nvSpPr>
          <xdr:spPr>
            <a:xfrm>
              <a:off x="13172280" y="89177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:r>
                <a:rPr lang="en-US" sz="1100" b="1" i="0">
                  <a:latin typeface="Cambria Math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CC(Kobalyan%20Mariam%20-%20homework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293.33333330773519</v>
          </cell>
          <cell r="H13">
            <v>286.66666661547043</v>
          </cell>
          <cell r="I13">
            <v>279.99999992432436</v>
          </cell>
          <cell r="J13">
            <v>273.33333323317839</v>
          </cell>
          <cell r="K13">
            <v>266.66666654422096</v>
          </cell>
          <cell r="L13">
            <v>259.99999985526358</v>
          </cell>
          <cell r="M13">
            <v>253.33333316946903</v>
          </cell>
          <cell r="N13">
            <v>246.6666664836745</v>
          </cell>
          <cell r="O13">
            <v>239.99999980187874</v>
          </cell>
          <cell r="P13">
            <v>233.33333312008304</v>
          </cell>
          <cell r="Q13">
            <v>226.6666664429473</v>
          </cell>
          <cell r="R13">
            <v>219.99999976581159</v>
          </cell>
          <cell r="S13">
            <v>213.33333309379347</v>
          </cell>
          <cell r="T13">
            <v>206.66666642177535</v>
          </cell>
          <cell r="U13">
            <v>199.99999975510869</v>
          </cell>
          <cell r="V13">
            <v>193.33333308844203</v>
          </cell>
          <cell r="W13">
            <v>186.66666642712681</v>
          </cell>
          <cell r="X13">
            <v>179.99999976581159</v>
          </cell>
          <cell r="Y13">
            <v>173.33333310961396</v>
          </cell>
          <cell r="Z13">
            <v>166.66666645341633</v>
          </cell>
          <cell r="AA13">
            <v>159.99999980187874</v>
          </cell>
          <cell r="AB13">
            <v>153.33333315034113</v>
          </cell>
          <cell r="AC13">
            <v>146.66666650280234</v>
          </cell>
          <cell r="AD13">
            <v>139.99999985526358</v>
          </cell>
          <cell r="AE13">
            <v>133.33333321088764</v>
          </cell>
          <cell r="AF13">
            <v>126.66666656651172</v>
          </cell>
          <cell r="AG13">
            <v>119.99999992432441</v>
          </cell>
          <cell r="AH13">
            <v>113.33333328213709</v>
          </cell>
          <cell r="AI13">
            <v>106.66666664106855</v>
          </cell>
          <cell r="AJ13">
            <v>100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80" zoomScaleNormal="80" workbookViewId="0">
      <selection activeCell="G13" sqref="G13:AI13"/>
    </sheetView>
  </sheetViews>
  <sheetFormatPr defaultRowHeight="15" x14ac:dyDescent="0.25"/>
  <cols>
    <col min="6" max="36" width="7.140625" customWidth="1"/>
  </cols>
  <sheetData>
    <row r="3" spans="2:36" x14ac:dyDescent="0.25">
      <c r="B3" s="5" t="s">
        <v>0</v>
      </c>
      <c r="C3" s="5">
        <v>0.1</v>
      </c>
    </row>
    <row r="4" spans="2:36" x14ac:dyDescent="0.25">
      <c r="B4" s="5" t="s">
        <v>1</v>
      </c>
      <c r="C4" s="6">
        <f>C3/30</f>
        <v>3.3333333333333335E-3</v>
      </c>
    </row>
    <row r="5" spans="2:36" x14ac:dyDescent="0.25">
      <c r="B5" s="5" t="s">
        <v>2</v>
      </c>
      <c r="C5" s="5">
        <v>0.43</v>
      </c>
    </row>
    <row r="6" spans="2:36" x14ac:dyDescent="0.25">
      <c r="B6" s="5" t="s">
        <v>3</v>
      </c>
      <c r="C6" s="5">
        <v>60</v>
      </c>
      <c r="D6">
        <v>1.43</v>
      </c>
      <c r="G6">
        <f>C6/C5</f>
        <v>139.53488372093022</v>
      </c>
    </row>
    <row r="8" spans="2:36" x14ac:dyDescent="0.25">
      <c r="B8" s="5" t="s">
        <v>4</v>
      </c>
      <c r="C8" s="5">
        <v>460</v>
      </c>
    </row>
    <row r="9" spans="2:36" x14ac:dyDescent="0.25">
      <c r="B9" s="5" t="s">
        <v>5</v>
      </c>
      <c r="C9" s="5">
        <v>7800</v>
      </c>
    </row>
    <row r="10" spans="2:36" x14ac:dyDescent="0.25">
      <c r="B10" s="5" t="s">
        <v>6</v>
      </c>
      <c r="C10" s="5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5" t="s">
        <v>8</v>
      </c>
      <c r="C12" s="5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5" t="s">
        <v>9</v>
      </c>
      <c r="C13" s="5">
        <v>100</v>
      </c>
      <c r="E13" t="s">
        <v>7</v>
      </c>
      <c r="F13" s="1">
        <f>C12</f>
        <v>300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>
        <f>C13</f>
        <v>100</v>
      </c>
    </row>
    <row r="15" spans="2:36" x14ac:dyDescent="0.25">
      <c r="E15" t="s">
        <v>10</v>
      </c>
      <c r="G15" s="1">
        <f>G13+(($C$10*$C$5)/($C$9*$C$8))*((H13-2*G13+F13)/($C$4^2))</f>
        <v>148.84615384615384</v>
      </c>
      <c r="H15" s="1">
        <f t="shared" ref="H15:AI15" si="1">H13+(($C$10*$C$5)/($C$9*$C$8))*((I13-2*H13+G13)/($C$4^2))</f>
        <v>0</v>
      </c>
      <c r="I15" s="1">
        <f t="shared" si="1"/>
        <v>0</v>
      </c>
      <c r="J15" s="1">
        <f t="shared" si="1"/>
        <v>0</v>
      </c>
      <c r="K15" s="1">
        <f t="shared" si="1"/>
        <v>0</v>
      </c>
      <c r="L15" s="1">
        <f t="shared" si="1"/>
        <v>0</v>
      </c>
      <c r="M15" s="1">
        <f t="shared" si="1"/>
        <v>0</v>
      </c>
      <c r="N15" s="1">
        <f t="shared" si="1"/>
        <v>0</v>
      </c>
      <c r="O15" s="1">
        <f t="shared" si="1"/>
        <v>0</v>
      </c>
      <c r="P15" s="1">
        <f t="shared" si="1"/>
        <v>0</v>
      </c>
      <c r="Q15" s="1">
        <f t="shared" si="1"/>
        <v>0</v>
      </c>
      <c r="R15" s="1">
        <f t="shared" si="1"/>
        <v>0</v>
      </c>
      <c r="S15" s="1">
        <f t="shared" si="1"/>
        <v>0</v>
      </c>
      <c r="T15" s="1">
        <f t="shared" si="1"/>
        <v>0</v>
      </c>
      <c r="U15" s="1">
        <f t="shared" si="1"/>
        <v>0</v>
      </c>
      <c r="V15" s="1">
        <f t="shared" si="1"/>
        <v>0</v>
      </c>
      <c r="W15" s="1">
        <f t="shared" si="1"/>
        <v>0</v>
      </c>
      <c r="X15" s="1">
        <f t="shared" si="1"/>
        <v>0</v>
      </c>
      <c r="Y15" s="1">
        <f t="shared" si="1"/>
        <v>0</v>
      </c>
      <c r="Z15" s="1">
        <f t="shared" si="1"/>
        <v>0</v>
      </c>
      <c r="AA15" s="1">
        <f t="shared" si="1"/>
        <v>0</v>
      </c>
      <c r="AB15" s="1">
        <f t="shared" si="1"/>
        <v>0</v>
      </c>
      <c r="AC15" s="1">
        <f t="shared" si="1"/>
        <v>0</v>
      </c>
      <c r="AD15" s="1">
        <f t="shared" si="1"/>
        <v>0</v>
      </c>
      <c r="AE15" s="1">
        <f t="shared" si="1"/>
        <v>0</v>
      </c>
      <c r="AF15" s="1">
        <f t="shared" si="1"/>
        <v>0</v>
      </c>
      <c r="AG15" s="1">
        <f t="shared" si="1"/>
        <v>0</v>
      </c>
      <c r="AH15" s="1">
        <f t="shared" si="1"/>
        <v>0</v>
      </c>
      <c r="AI15" s="1">
        <f t="shared" si="1"/>
        <v>49.615384615384606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card">
                <anchor moveWithCells="1" sizeWithCells="1">
                  <from>
                    <xdr:col>10</xdr:col>
                    <xdr:colOff>381000</xdr:colOff>
                    <xdr:row>2</xdr:row>
                    <xdr:rowOff>47625</xdr:rowOff>
                  </from>
                  <to>
                    <xdr:col>12</xdr:col>
                    <xdr:colOff>266700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terat">
                <anchor moveWithCells="1" sizeWithCells="1">
                  <from>
                    <xdr:col>13</xdr:col>
                    <xdr:colOff>314325</xdr:colOff>
                    <xdr:row>2</xdr:row>
                    <xdr:rowOff>9525</xdr:rowOff>
                  </from>
                  <to>
                    <xdr:col>15</xdr:col>
                    <xdr:colOff>342900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3:AJ21"/>
  <sheetViews>
    <sheetView zoomScale="90" zoomScaleNormal="90" workbookViewId="0">
      <selection activeCell="G13" sqref="G13:AI13"/>
    </sheetView>
  </sheetViews>
  <sheetFormatPr defaultRowHeight="15" x14ac:dyDescent="0.25"/>
  <sheetData>
    <row r="3" spans="2:36" x14ac:dyDescent="0.25">
      <c r="B3" s="5" t="s">
        <v>0</v>
      </c>
      <c r="C3" s="5">
        <v>0.1</v>
      </c>
    </row>
    <row r="4" spans="2:36" x14ac:dyDescent="0.25">
      <c r="B4" s="5" t="s">
        <v>1</v>
      </c>
      <c r="C4" s="4">
        <f>C3/30</f>
        <v>3.3333333333333335E-3</v>
      </c>
    </row>
    <row r="5" spans="2:36" x14ac:dyDescent="0.25">
      <c r="B5" s="5" t="s">
        <v>2</v>
      </c>
      <c r="C5" s="5">
        <f>'"Явная" схема'!$C$5</f>
        <v>0.43</v>
      </c>
    </row>
    <row r="6" spans="2:36" x14ac:dyDescent="0.25">
      <c r="B6" s="5" t="s">
        <v>3</v>
      </c>
      <c r="C6" s="5">
        <v>60</v>
      </c>
      <c r="D6">
        <v>1.43</v>
      </c>
    </row>
    <row r="8" spans="2:36" x14ac:dyDescent="0.25">
      <c r="B8" s="5" t="s">
        <v>4</v>
      </c>
      <c r="C8" s="5">
        <v>460</v>
      </c>
    </row>
    <row r="9" spans="2:36" x14ac:dyDescent="0.25">
      <c r="B9" s="5" t="s">
        <v>5</v>
      </c>
      <c r="C9" s="5">
        <v>7800</v>
      </c>
    </row>
    <row r="10" spans="2:36" x14ac:dyDescent="0.25">
      <c r="B10" s="5" t="s">
        <v>6</v>
      </c>
      <c r="C10" s="5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5" t="s">
        <v>8</v>
      </c>
      <c r="C12" s="5">
        <v>300</v>
      </c>
      <c r="E12" s="5" t="s">
        <v>0</v>
      </c>
      <c r="F12" s="3">
        <v>0</v>
      </c>
      <c r="G12" s="4">
        <f t="shared" ref="G12:AJ12" si="0">F12+$C$4</f>
        <v>3.3333333333333335E-3</v>
      </c>
      <c r="H12" s="4">
        <f t="shared" si="0"/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5" t="s">
        <v>9</v>
      </c>
      <c r="C13" s="5">
        <v>100</v>
      </c>
      <c r="E13" s="5" t="s">
        <v>7</v>
      </c>
      <c r="F13" s="2">
        <f>C12</f>
        <v>300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>
        <f>C13</f>
        <v>100</v>
      </c>
    </row>
    <row r="15" spans="2:36" x14ac:dyDescent="0.25">
      <c r="B15" s="5" t="s">
        <v>12</v>
      </c>
      <c r="C15" s="5">
        <f>C10/(C4^2)</f>
        <v>4139999.9999999991</v>
      </c>
      <c r="E15" t="s">
        <v>10</v>
      </c>
      <c r="G15" s="1">
        <f t="shared" ref="G15:AI15" si="1">G19*H15+G20</f>
        <v>80.026714841682065</v>
      </c>
      <c r="H15" s="1">
        <f t="shared" si="1"/>
        <v>21.347583627839665</v>
      </c>
      <c r="I15" s="1">
        <f t="shared" si="1"/>
        <v>5.6945899584803152</v>
      </c>
      <c r="J15" s="1">
        <f t="shared" si="1"/>
        <v>1.5190644224921457</v>
      </c>
      <c r="K15" s="1">
        <f t="shared" si="1"/>
        <v>0.40521911788349557</v>
      </c>
      <c r="L15" s="1">
        <f t="shared" si="1"/>
        <v>0.10809451598576707</v>
      </c>
      <c r="M15" s="1">
        <f t="shared" si="1"/>
        <v>2.8834830028344326E-2</v>
      </c>
      <c r="N15" s="1">
        <f t="shared" si="1"/>
        <v>7.6918557559566749E-3</v>
      </c>
      <c r="O15" s="1">
        <f t="shared" si="1"/>
        <v>2.0518465730941064E-3</v>
      </c>
      <c r="P15" s="1">
        <f t="shared" si="1"/>
        <v>5.4734211119640466E-4</v>
      </c>
      <c r="Q15" s="1">
        <f t="shared" si="1"/>
        <v>1.4600779589610737E-4</v>
      </c>
      <c r="R15" s="1">
        <f t="shared" si="1"/>
        <v>3.8952759146104149E-5</v>
      </c>
      <c r="S15" s="1">
        <f t="shared" si="1"/>
        <v>1.0407159434760474E-5</v>
      </c>
      <c r="T15" s="1">
        <f t="shared" si="1"/>
        <v>2.8372299020037989E-6</v>
      </c>
      <c r="U15" s="1">
        <f t="shared" si="1"/>
        <v>9.8574823375090391E-7</v>
      </c>
      <c r="V15" s="1">
        <f t="shared" si="1"/>
        <v>1.1210459513525445E-6</v>
      </c>
      <c r="W15" s="1">
        <f t="shared" si="1"/>
        <v>3.5158161290445855E-6</v>
      </c>
      <c r="X15" s="1">
        <f t="shared" si="1"/>
        <v>1.2996727342020289E-5</v>
      </c>
      <c r="Y15" s="1">
        <f t="shared" si="1"/>
        <v>4.8672592887750069E-5</v>
      </c>
      <c r="Z15" s="1">
        <f t="shared" si="1"/>
        <v>1.8244825805220093E-4</v>
      </c>
      <c r="AA15" s="1">
        <f t="shared" si="1"/>
        <v>6.8394909448465371E-4</v>
      </c>
      <c r="AB15" s="1">
        <f t="shared" si="1"/>
        <v>2.5639519818164091E-3</v>
      </c>
      <c r="AC15" s="1">
        <f t="shared" si="1"/>
        <v>9.6116100262975176E-3</v>
      </c>
      <c r="AD15" s="1">
        <f t="shared" si="1"/>
        <v>3.6031505333083705E-2</v>
      </c>
      <c r="AE15" s="1">
        <f t="shared" si="1"/>
        <v>0.13507303929569753</v>
      </c>
      <c r="AF15" s="1">
        <f t="shared" si="1"/>
        <v>0.50635480749770179</v>
      </c>
      <c r="AG15" s="1">
        <f t="shared" si="1"/>
        <v>1.8981966528268572</v>
      </c>
      <c r="AH15" s="1">
        <f t="shared" si="1"/>
        <v>7.1158612092799114</v>
      </c>
      <c r="AI15" s="1">
        <f t="shared" si="1"/>
        <v>26.675571613894029</v>
      </c>
      <c r="AJ15" s="1">
        <f>AJ13</f>
        <v>100</v>
      </c>
    </row>
    <row r="16" spans="2:36" x14ac:dyDescent="0.25">
      <c r="B16" s="5" t="s">
        <v>13</v>
      </c>
      <c r="C16" s="5">
        <f>(2*C10)/(C4^2)+(C9*C8)/C5</f>
        <v>16624186.046511626</v>
      </c>
    </row>
    <row r="17" spans="2:35" x14ac:dyDescent="0.25">
      <c r="B17" s="5" t="s">
        <v>14</v>
      </c>
      <c r="C17" s="5">
        <f>C15</f>
        <v>4139999.9999999991</v>
      </c>
      <c r="E17" t="s">
        <v>15</v>
      </c>
      <c r="F17">
        <v>0</v>
      </c>
      <c r="G17">
        <f>-$C$10*((G13-F13)/$C$4)</f>
        <v>4140000</v>
      </c>
      <c r="H17">
        <f t="shared" ref="H17:AI17" si="2">-$C$10*((H13-G13)/$C$4)</f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>
        <f t="shared" si="2"/>
        <v>0</v>
      </c>
      <c r="N17">
        <f t="shared" si="2"/>
        <v>0</v>
      </c>
      <c r="O17">
        <f t="shared" si="2"/>
        <v>0</v>
      </c>
      <c r="P17">
        <f t="shared" si="2"/>
        <v>0</v>
      </c>
      <c r="Q17">
        <f t="shared" si="2"/>
        <v>0</v>
      </c>
      <c r="R17">
        <f t="shared" si="2"/>
        <v>0</v>
      </c>
      <c r="S17">
        <f t="shared" si="2"/>
        <v>0</v>
      </c>
      <c r="T17">
        <f t="shared" si="2"/>
        <v>0</v>
      </c>
      <c r="U17">
        <f t="shared" si="2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>
        <f t="shared" si="2"/>
        <v>0</v>
      </c>
      <c r="AA17">
        <f t="shared" si="2"/>
        <v>0</v>
      </c>
      <c r="AB17">
        <f t="shared" si="2"/>
        <v>0</v>
      </c>
      <c r="AC17">
        <f t="shared" si="2"/>
        <v>0</v>
      </c>
      <c r="AD17">
        <f t="shared" si="2"/>
        <v>0</v>
      </c>
      <c r="AE17">
        <f t="shared" si="2"/>
        <v>0</v>
      </c>
      <c r="AF17">
        <f t="shared" si="2"/>
        <v>0</v>
      </c>
      <c r="AG17">
        <f t="shared" si="2"/>
        <v>0</v>
      </c>
      <c r="AH17">
        <f t="shared" si="2"/>
        <v>0</v>
      </c>
      <c r="AI17">
        <f t="shared" si="2"/>
        <v>0</v>
      </c>
    </row>
    <row r="18" spans="2:35" x14ac:dyDescent="0.25">
      <c r="G18" t="s">
        <v>11</v>
      </c>
    </row>
    <row r="19" spans="2:35" x14ac:dyDescent="0.25">
      <c r="E19" s="5" t="s">
        <v>16</v>
      </c>
      <c r="F19" s="5">
        <v>0</v>
      </c>
      <c r="G19" s="5">
        <f t="shared" ref="G19:AI19" si="3">$C$15/($C$16-$C$17*F19)</f>
        <v>0.24903474903474901</v>
      </c>
      <c r="H19" s="5">
        <f t="shared" si="3"/>
        <v>0.26550064962671294</v>
      </c>
      <c r="I19" s="5">
        <f t="shared" si="3"/>
        <v>0.2666664372380797</v>
      </c>
      <c r="J19" s="5">
        <f t="shared" si="3"/>
        <v>0.26674936332756222</v>
      </c>
      <c r="K19" s="5">
        <f t="shared" si="3"/>
        <v>0.26675526408246575</v>
      </c>
      <c r="L19" s="5">
        <f t="shared" si="3"/>
        <v>0.26675568397123278</v>
      </c>
      <c r="M19" s="5">
        <f t="shared" si="3"/>
        <v>0.26675571384993085</v>
      </c>
      <c r="N19" s="5">
        <f t="shared" si="3"/>
        <v>0.26675571597605752</v>
      </c>
      <c r="O19" s="5">
        <f t="shared" si="3"/>
        <v>0.26675571612734972</v>
      </c>
      <c r="P19" s="5">
        <f t="shared" si="3"/>
        <v>0.2667557161381155</v>
      </c>
      <c r="Q19" s="5">
        <f t="shared" si="3"/>
        <v>0.26675571613888155</v>
      </c>
      <c r="R19" s="5">
        <f t="shared" si="3"/>
        <v>0.26675571613893606</v>
      </c>
      <c r="S19" s="5">
        <f t="shared" si="3"/>
        <v>0.26675571613893995</v>
      </c>
      <c r="T19" s="5">
        <f t="shared" si="3"/>
        <v>0.26675571613894022</v>
      </c>
      <c r="U19" s="5">
        <f t="shared" si="3"/>
        <v>0.26675571613894022</v>
      </c>
      <c r="V19" s="5">
        <f t="shared" si="3"/>
        <v>0.26675571613894022</v>
      </c>
      <c r="W19" s="5">
        <f t="shared" si="3"/>
        <v>0.26675571613894022</v>
      </c>
      <c r="X19" s="5">
        <f t="shared" si="3"/>
        <v>0.26675571613894022</v>
      </c>
      <c r="Y19" s="5">
        <f t="shared" si="3"/>
        <v>0.26675571613894022</v>
      </c>
      <c r="Z19" s="5">
        <f t="shared" si="3"/>
        <v>0.26675571613894022</v>
      </c>
      <c r="AA19" s="5">
        <f t="shared" si="3"/>
        <v>0.26675571613894022</v>
      </c>
      <c r="AB19" s="5">
        <f t="shared" si="3"/>
        <v>0.26675571613894022</v>
      </c>
      <c r="AC19" s="5">
        <f t="shared" si="3"/>
        <v>0.26675571613894022</v>
      </c>
      <c r="AD19" s="5">
        <f t="shared" si="3"/>
        <v>0.26675571613894022</v>
      </c>
      <c r="AE19" s="5">
        <f t="shared" si="3"/>
        <v>0.26675571613894022</v>
      </c>
      <c r="AF19" s="5">
        <f t="shared" si="3"/>
        <v>0.26675571613894022</v>
      </c>
      <c r="AG19" s="5">
        <f t="shared" si="3"/>
        <v>0.26675571613894022</v>
      </c>
      <c r="AH19" s="5">
        <f t="shared" si="3"/>
        <v>0.26675571613894022</v>
      </c>
      <c r="AI19" s="5">
        <f t="shared" si="3"/>
        <v>0.26675571613894022</v>
      </c>
    </row>
    <row r="20" spans="2:35" x14ac:dyDescent="0.25">
      <c r="E20" s="5" t="s">
        <v>17</v>
      </c>
      <c r="F20" s="5">
        <f>F13</f>
        <v>300</v>
      </c>
      <c r="G20" s="5">
        <f t="shared" ref="G20:AI20" si="4">(F20*$C$17-G21)/($C$16-$C$17*F19)</f>
        <v>74.710424710424704</v>
      </c>
      <c r="H20" s="5">
        <f t="shared" si="4"/>
        <v>19.835666294505383</v>
      </c>
      <c r="I20" s="5">
        <f t="shared" si="4"/>
        <v>5.2895064609992133</v>
      </c>
      <c r="J20" s="5">
        <f t="shared" si="4"/>
        <v>1.4109724807885669</v>
      </c>
      <c r="K20" s="5">
        <f t="shared" si="4"/>
        <v>0.37638433672584598</v>
      </c>
      <c r="L20" s="5">
        <f t="shared" si="4"/>
        <v>0.10040266117936184</v>
      </c>
      <c r="M20" s="5">
        <f t="shared" si="4"/>
        <v>2.6782983555333404E-2</v>
      </c>
      <c r="N20" s="5">
        <f t="shared" si="4"/>
        <v>7.144513954277937E-3</v>
      </c>
      <c r="O20" s="5">
        <f t="shared" si="4"/>
        <v>1.9058399362552542E-3</v>
      </c>
      <c r="P20" s="5">
        <f t="shared" si="4"/>
        <v>5.0839369704039068E-4</v>
      </c>
      <c r="Q20" s="5">
        <f t="shared" si="4"/>
        <v>1.35616924734503E-4</v>
      </c>
      <c r="R20" s="5">
        <f t="shared" si="4"/>
        <v>3.6176589878112536E-5</v>
      </c>
      <c r="S20" s="5">
        <f t="shared" si="4"/>
        <v>9.6503121404006366E-6</v>
      </c>
      <c r="T20" s="5">
        <f t="shared" si="4"/>
        <v>2.5742759259768809E-6</v>
      </c>
      <c r="U20" s="5">
        <f t="shared" si="4"/>
        <v>6.867028181731963E-7</v>
      </c>
      <c r="V20" s="5">
        <f t="shared" si="4"/>
        <v>1.8318190203641945E-7</v>
      </c>
      <c r="W20" s="5">
        <f t="shared" si="4"/>
        <v>4.886481946141826E-8</v>
      </c>
      <c r="X20" s="5">
        <f t="shared" si="4"/>
        <v>1.3034969909430651E-8</v>
      </c>
      <c r="Y20" s="5">
        <f t="shared" si="4"/>
        <v>3.4771527330397102E-9</v>
      </c>
      <c r="Z20" s="5">
        <f t="shared" si="4"/>
        <v>9.2755036742648101E-10</v>
      </c>
      <c r="AA20" s="5">
        <f t="shared" si="4"/>
        <v>2.4742936251778805E-10</v>
      </c>
      <c r="AB20" s="5">
        <f t="shared" si="4"/>
        <v>6.6003196792234004E-11</v>
      </c>
      <c r="AC20" s="5">
        <f t="shared" si="4"/>
        <v>1.7606730027771782E-11</v>
      </c>
      <c r="AD20" s="5">
        <f t="shared" si="4"/>
        <v>4.6966958774232446E-12</v>
      </c>
      <c r="AE20" s="5">
        <f t="shared" si="4"/>
        <v>1.2528704722688457E-12</v>
      </c>
      <c r="AF20" s="5">
        <f t="shared" si="4"/>
        <v>3.342103600594082E-13</v>
      </c>
      <c r="AG20" s="5">
        <f t="shared" si="4"/>
        <v>8.9152523938700501E-14</v>
      </c>
      <c r="AH20" s="5">
        <f t="shared" si="4"/>
        <v>2.3781945368862064E-14</v>
      </c>
      <c r="AI20" s="5">
        <f t="shared" si="4"/>
        <v>6.3439698680479523E-15</v>
      </c>
    </row>
    <row r="21" spans="2:35" x14ac:dyDescent="0.25">
      <c r="E21" s="5" t="s">
        <v>18</v>
      </c>
      <c r="F21" s="5">
        <f>-(($C$9*$C$8)/$C$5)*F13</f>
        <v>-2503255813.9534883</v>
      </c>
      <c r="G21" s="5">
        <f t="shared" ref="G21:AI21" si="5">-(($C$9*$C$8)/$C$5)*G13</f>
        <v>0</v>
      </c>
      <c r="H21" s="5">
        <f t="shared" si="5"/>
        <v>0</v>
      </c>
      <c r="I21" s="5">
        <f t="shared" si="5"/>
        <v>0</v>
      </c>
      <c r="J21" s="5">
        <f t="shared" si="5"/>
        <v>0</v>
      </c>
      <c r="K21" s="5">
        <f t="shared" si="5"/>
        <v>0</v>
      </c>
      <c r="L21" s="5">
        <f t="shared" si="5"/>
        <v>0</v>
      </c>
      <c r="M21" s="5">
        <f t="shared" si="5"/>
        <v>0</v>
      </c>
      <c r="N21" s="5">
        <f t="shared" si="5"/>
        <v>0</v>
      </c>
      <c r="O21" s="5">
        <f t="shared" si="5"/>
        <v>0</v>
      </c>
      <c r="P21" s="5">
        <f t="shared" si="5"/>
        <v>0</v>
      </c>
      <c r="Q21" s="5">
        <f t="shared" si="5"/>
        <v>0</v>
      </c>
      <c r="R21" s="5">
        <f t="shared" si="5"/>
        <v>0</v>
      </c>
      <c r="S21" s="5">
        <f t="shared" si="5"/>
        <v>0</v>
      </c>
      <c r="T21" s="5">
        <f t="shared" si="5"/>
        <v>0</v>
      </c>
      <c r="U21" s="5">
        <f t="shared" si="5"/>
        <v>0</v>
      </c>
      <c r="V21" s="5">
        <f t="shared" si="5"/>
        <v>0</v>
      </c>
      <c r="W21" s="5">
        <f t="shared" si="5"/>
        <v>0</v>
      </c>
      <c r="X21" s="5">
        <f t="shared" si="5"/>
        <v>0</v>
      </c>
      <c r="Y21" s="5">
        <f t="shared" si="5"/>
        <v>0</v>
      </c>
      <c r="Z21" s="5">
        <f t="shared" si="5"/>
        <v>0</v>
      </c>
      <c r="AA21" s="5">
        <f t="shared" si="5"/>
        <v>0</v>
      </c>
      <c r="AB21" s="5">
        <f t="shared" si="5"/>
        <v>0</v>
      </c>
      <c r="AC21" s="5">
        <f t="shared" si="5"/>
        <v>0</v>
      </c>
      <c r="AD21" s="5">
        <f t="shared" si="5"/>
        <v>0</v>
      </c>
      <c r="AE21" s="5">
        <f t="shared" si="5"/>
        <v>0</v>
      </c>
      <c r="AF21" s="5">
        <f t="shared" si="5"/>
        <v>0</v>
      </c>
      <c r="AG21" s="5">
        <f t="shared" si="5"/>
        <v>0</v>
      </c>
      <c r="AH21" s="5">
        <f t="shared" si="5"/>
        <v>0</v>
      </c>
      <c r="AI21" s="5">
        <f t="shared" si="5"/>
        <v>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iscard">
                <anchor moveWithCells="1" sizeWithCells="1">
                  <from>
                    <xdr:col>7</xdr:col>
                    <xdr:colOff>266700</xdr:colOff>
                    <xdr:row>2</xdr:row>
                    <xdr:rowOff>38100</xdr:rowOff>
                  </from>
                  <to>
                    <xdr:col>8</xdr:col>
                    <xdr:colOff>381000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terat">
                <anchor moveWithCells="1" sizeWithCells="1">
                  <from>
                    <xdr:col>9</xdr:col>
                    <xdr:colOff>552450</xdr:colOff>
                    <xdr:row>2</xdr:row>
                    <xdr:rowOff>28575</xdr:rowOff>
                  </from>
                  <to>
                    <xdr:col>11</xdr:col>
                    <xdr:colOff>514350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"Явная" схема</vt:lpstr>
      <vt:lpstr>"Неявная" схема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2021-09-17T10:58:47Z</dcterms:created>
  <dcterms:modified xsi:type="dcterms:W3CDTF">2021-10-25T20:22:44Z</dcterms:modified>
</cp:coreProperties>
</file>