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EE52EE84-6F80-4E81-AF7C-B1878D2FF2AB}" xr6:coauthVersionLast="47" xr6:coauthVersionMax="47" xr10:uidLastSave="{00000000-0000-0000-0000-000000000000}"/>
  <bookViews>
    <workbookView xWindow="-120" yWindow="-120" windowWidth="29040" windowHeight="15840" xr2:uid="{6E6A8268-E72E-4C25-B028-95AC3CF18406}"/>
  </bookViews>
  <sheets>
    <sheet name="Лист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3" i="1" l="1"/>
  <c r="S53" i="1"/>
  <c r="R53" i="1"/>
  <c r="AJ9" i="1" s="1"/>
  <c r="Q53" i="1"/>
  <c r="AI9" i="1" s="1"/>
  <c r="P53" i="1"/>
  <c r="AH9" i="1" s="1"/>
  <c r="O53" i="1"/>
  <c r="I48" i="1"/>
  <c r="H48" i="1"/>
  <c r="G48" i="1"/>
  <c r="F48" i="1"/>
  <c r="N43" i="1"/>
  <c r="AF20" i="1" s="1"/>
  <c r="L43" i="1"/>
  <c r="AD20" i="1" s="1"/>
  <c r="X22" i="1"/>
  <c r="AB17" i="1"/>
  <c r="AC17" i="1" s="1"/>
  <c r="AD17" i="1" s="1"/>
  <c r="AE17" i="1" s="1"/>
  <c r="AF17" i="1" s="1"/>
  <c r="AG17" i="1" s="1"/>
  <c r="AH17" i="1" s="1"/>
  <c r="AI17" i="1" s="1"/>
  <c r="AJ17" i="1" s="1"/>
  <c r="AK17" i="1" s="1"/>
  <c r="AA17" i="1"/>
  <c r="Z17" i="1"/>
  <c r="Y17" i="1"/>
  <c r="AG16" i="1"/>
  <c r="AE16" i="1"/>
  <c r="AC16" i="1"/>
  <c r="N15" i="1"/>
  <c r="O15" i="1" s="1"/>
  <c r="P15" i="1" s="1"/>
  <c r="Q15" i="1" s="1"/>
  <c r="R15" i="1" s="1"/>
  <c r="S15" i="1" s="1"/>
  <c r="T15" i="1" s="1"/>
  <c r="G15" i="1"/>
  <c r="H15" i="1" s="1"/>
  <c r="I15" i="1" s="1"/>
  <c r="J15" i="1" s="1"/>
  <c r="K15" i="1" s="1"/>
  <c r="L15" i="1" s="1"/>
  <c r="M15" i="1" s="1"/>
  <c r="S13" i="1"/>
  <c r="S40" i="1" s="1"/>
  <c r="R13" i="1"/>
  <c r="Q13" i="1"/>
  <c r="P13" i="1"/>
  <c r="O52" i="1" s="1"/>
  <c r="O13" i="1"/>
  <c r="N52" i="1" s="1"/>
  <c r="AF9" i="1" s="1"/>
  <c r="E13" i="1"/>
  <c r="S12" i="1"/>
  <c r="S39" i="1" s="1"/>
  <c r="R12" i="1"/>
  <c r="Q12" i="1"/>
  <c r="P12" i="1"/>
  <c r="P39" i="1" s="1"/>
  <c r="O12" i="1"/>
  <c r="N12" i="1"/>
  <c r="E12" i="1"/>
  <c r="E11" i="1" s="1"/>
  <c r="E10" i="1" s="1"/>
  <c r="E9" i="1" s="1"/>
  <c r="E8" i="1" s="1"/>
  <c r="E7" i="1" s="1"/>
  <c r="E6" i="1" s="1"/>
  <c r="E5" i="1" s="1"/>
  <c r="E4" i="1" s="1"/>
  <c r="B6" i="1" s="1"/>
  <c r="T13" i="1" s="1"/>
  <c r="X11" i="1"/>
  <c r="S11" i="1"/>
  <c r="R11" i="1"/>
  <c r="Q11" i="1"/>
  <c r="P11" i="1"/>
  <c r="O11" i="1"/>
  <c r="N11" i="1"/>
  <c r="N38" i="1" s="1"/>
  <c r="M11" i="1"/>
  <c r="S10" i="1"/>
  <c r="R10" i="1"/>
  <c r="Q10" i="1"/>
  <c r="P10" i="1"/>
  <c r="O10" i="1"/>
  <c r="N10" i="1"/>
  <c r="M10" i="1"/>
  <c r="M37" i="1" s="1"/>
  <c r="L10" i="1"/>
  <c r="K49" i="1" s="1"/>
  <c r="AC9" i="1" s="1"/>
  <c r="AK9" i="1"/>
  <c r="AG9" i="1"/>
  <c r="AA9" i="1"/>
  <c r="Z9" i="1"/>
  <c r="Y9" i="1"/>
  <c r="X9" i="1"/>
  <c r="S9" i="1"/>
  <c r="R9" i="1"/>
  <c r="Q9" i="1"/>
  <c r="P9" i="1"/>
  <c r="O9" i="1"/>
  <c r="N9" i="1"/>
  <c r="M9" i="1"/>
  <c r="L9" i="1"/>
  <c r="K9" i="1"/>
  <c r="K36" i="1" s="1"/>
  <c r="S8" i="1"/>
  <c r="R8" i="1"/>
  <c r="Q8" i="1"/>
  <c r="P8" i="1"/>
  <c r="O8" i="1"/>
  <c r="N8" i="1"/>
  <c r="M8" i="1"/>
  <c r="L8" i="1"/>
  <c r="K8" i="1"/>
  <c r="J8" i="1"/>
  <c r="I8" i="1"/>
  <c r="I35" i="1" s="1"/>
  <c r="H8" i="1"/>
  <c r="H35" i="1" s="1"/>
  <c r="H61" i="1" s="1"/>
  <c r="G8" i="1"/>
  <c r="F47" i="1" s="1"/>
  <c r="F8" i="1"/>
  <c r="F35" i="1" s="1"/>
  <c r="S7" i="1"/>
  <c r="R7" i="1"/>
  <c r="Q7" i="1"/>
  <c r="P7" i="1"/>
  <c r="O7" i="1"/>
  <c r="N7" i="1"/>
  <c r="M7" i="1"/>
  <c r="L7" i="1"/>
  <c r="K7" i="1"/>
  <c r="J7" i="1"/>
  <c r="J34" i="1" s="1"/>
  <c r="I7" i="1"/>
  <c r="I34" i="1" s="1"/>
  <c r="H7" i="1"/>
  <c r="G7" i="1"/>
  <c r="Y6" i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S6" i="1"/>
  <c r="R6" i="1"/>
  <c r="Q6" i="1"/>
  <c r="P6" i="1"/>
  <c r="O6" i="1"/>
  <c r="N6" i="1"/>
  <c r="M6" i="1"/>
  <c r="L6" i="1"/>
  <c r="K6" i="1"/>
  <c r="K31" i="1" s="1"/>
  <c r="J6" i="1"/>
  <c r="I6" i="1"/>
  <c r="H6" i="1"/>
  <c r="G6" i="1"/>
  <c r="S5" i="1"/>
  <c r="R5" i="1"/>
  <c r="Q5" i="1"/>
  <c r="P5" i="1"/>
  <c r="O5" i="1"/>
  <c r="N5" i="1"/>
  <c r="M5" i="1"/>
  <c r="L5" i="1"/>
  <c r="K5" i="1"/>
  <c r="J5" i="1"/>
  <c r="I5" i="1"/>
  <c r="H5" i="1"/>
  <c r="G5" i="1"/>
  <c r="T4" i="1"/>
  <c r="S4" i="1"/>
  <c r="R4" i="1"/>
  <c r="Q4" i="1"/>
  <c r="P4" i="1"/>
  <c r="O4" i="1"/>
  <c r="N4" i="1"/>
  <c r="AF16" i="1" s="1"/>
  <c r="M4" i="1"/>
  <c r="L4" i="1"/>
  <c r="K4" i="1"/>
  <c r="J43" i="1" s="1"/>
  <c r="AB20" i="1" s="1"/>
  <c r="J4" i="1"/>
  <c r="I4" i="1"/>
  <c r="H4" i="1"/>
  <c r="G4" i="1"/>
  <c r="F4" i="1"/>
  <c r="Q33" i="1" l="1"/>
  <c r="R35" i="1"/>
  <c r="P51" i="1"/>
  <c r="O38" i="1"/>
  <c r="M35" i="1"/>
  <c r="G33" i="1"/>
  <c r="S33" i="1"/>
  <c r="S35" i="1"/>
  <c r="N33" i="1"/>
  <c r="P36" i="1"/>
  <c r="J46" i="1"/>
  <c r="S36" i="1"/>
  <c r="Q35" i="1"/>
  <c r="P38" i="1"/>
  <c r="K32" i="1"/>
  <c r="R34" i="1"/>
  <c r="R50" i="1"/>
  <c r="M47" i="1"/>
  <c r="I61" i="1"/>
  <c r="AA8" i="1"/>
  <c r="AA10" i="1" s="1"/>
  <c r="K34" i="1"/>
  <c r="S37" i="1"/>
  <c r="O44" i="1"/>
  <c r="N45" i="1"/>
  <c r="L46" i="1"/>
  <c r="L47" i="1"/>
  <c r="L48" i="1"/>
  <c r="P44" i="1"/>
  <c r="O45" i="1"/>
  <c r="N36" i="1"/>
  <c r="H30" i="1"/>
  <c r="Z19" i="1" s="1"/>
  <c r="Q45" i="1"/>
  <c r="K30" i="1"/>
  <c r="AC19" i="1" s="1"/>
  <c r="I32" i="1"/>
  <c r="H33" i="1"/>
  <c r="P37" i="1"/>
  <c r="J48" i="1"/>
  <c r="AB9" i="1" s="1"/>
  <c r="AK8" i="1"/>
  <c r="AK10" i="1" s="1"/>
  <c r="S66" i="1"/>
  <c r="P45" i="1"/>
  <c r="O40" i="1"/>
  <c r="AG8" i="1" s="1"/>
  <c r="AG10" i="1" s="1"/>
  <c r="R44" i="1"/>
  <c r="P32" i="1"/>
  <c r="Q50" i="1"/>
  <c r="P40" i="1"/>
  <c r="P66" i="1" s="1"/>
  <c r="Q34" i="1"/>
  <c r="O48" i="1"/>
  <c r="N35" i="1"/>
  <c r="S38" i="1"/>
  <c r="G35" i="1"/>
  <c r="G61" i="1" s="1"/>
  <c r="J32" i="1"/>
  <c r="H31" i="1"/>
  <c r="L49" i="1"/>
  <c r="R49" i="1"/>
  <c r="H44" i="1"/>
  <c r="M50" i="1"/>
  <c r="M63" i="1" s="1"/>
  <c r="R36" i="1"/>
  <c r="K33" i="1"/>
  <c r="R47" i="1"/>
  <c r="Q49" i="1"/>
  <c r="N31" i="1"/>
  <c r="L37" i="1"/>
  <c r="AD8" i="1" s="1"/>
  <c r="I44" i="1"/>
  <c r="O50" i="1"/>
  <c r="O31" i="1"/>
  <c r="J44" i="1"/>
  <c r="L45" i="1"/>
  <c r="H47" i="1"/>
  <c r="N50" i="1"/>
  <c r="R51" i="1"/>
  <c r="K46" i="1"/>
  <c r="T12" i="1"/>
  <c r="T52" i="1"/>
  <c r="S52" i="1"/>
  <c r="S65" i="1" s="1"/>
  <c r="T40" i="1"/>
  <c r="T66" i="1" s="1"/>
  <c r="AB16" i="1"/>
  <c r="I43" i="1"/>
  <c r="AA20" i="1" s="1"/>
  <c r="J31" i="1"/>
  <c r="G34" i="1"/>
  <c r="H46" i="1"/>
  <c r="L36" i="1"/>
  <c r="K48" i="1"/>
  <c r="L34" i="1"/>
  <c r="H34" i="1"/>
  <c r="S31" i="1"/>
  <c r="R45" i="1"/>
  <c r="Q44" i="1"/>
  <c r="R32" i="1"/>
  <c r="P35" i="1"/>
  <c r="O47" i="1"/>
  <c r="M31" i="1"/>
  <c r="I46" i="1"/>
  <c r="O36" i="1"/>
  <c r="N48" i="1"/>
  <c r="O46" i="1"/>
  <c r="S34" i="1"/>
  <c r="R46" i="1"/>
  <c r="K43" i="1"/>
  <c r="AC20" i="1" s="1"/>
  <c r="L31" i="1"/>
  <c r="L30" i="1"/>
  <c r="X8" i="1"/>
  <c r="X10" i="1" s="1"/>
  <c r="F61" i="1"/>
  <c r="I33" i="1"/>
  <c r="J45" i="1"/>
  <c r="H45" i="1"/>
  <c r="J33" i="1"/>
  <c r="I45" i="1"/>
  <c r="Z8" i="1"/>
  <c r="Z10" i="1" s="1"/>
  <c r="P48" i="1"/>
  <c r="AD16" i="1"/>
  <c r="M43" i="1"/>
  <c r="AE20" i="1" s="1"/>
  <c r="P46" i="1"/>
  <c r="L32" i="1"/>
  <c r="K44" i="1"/>
  <c r="K57" i="1" s="1"/>
  <c r="I47" i="1"/>
  <c r="I60" i="1" s="1"/>
  <c r="J35" i="1"/>
  <c r="L50" i="1"/>
  <c r="AD9" i="1" s="1"/>
  <c r="M38" i="1"/>
  <c r="M36" i="1"/>
  <c r="Q32" i="1"/>
  <c r="Q31" i="1"/>
  <c r="Q30" i="1"/>
  <c r="AI16" i="1"/>
  <c r="P43" i="1"/>
  <c r="AH20" i="1" s="1"/>
  <c r="M32" i="1"/>
  <c r="L44" i="1"/>
  <c r="L33" i="1"/>
  <c r="M45" i="1"/>
  <c r="K45" i="1"/>
  <c r="M46" i="1"/>
  <c r="N34" i="1"/>
  <c r="J47" i="1"/>
  <c r="J60" i="1" s="1"/>
  <c r="K35" i="1"/>
  <c r="N49" i="1"/>
  <c r="O37" i="1"/>
  <c r="M51" i="1"/>
  <c r="AE9" i="1" s="1"/>
  <c r="N39" i="1"/>
  <c r="J30" i="1"/>
  <c r="M33" i="1"/>
  <c r="P31" i="1"/>
  <c r="P30" i="1"/>
  <c r="O43" i="1"/>
  <c r="AG20" i="1" s="1"/>
  <c r="X16" i="1"/>
  <c r="G43" i="1"/>
  <c r="Y20" i="1" s="1"/>
  <c r="R31" i="1"/>
  <c r="S43" i="1"/>
  <c r="AK20" i="1" s="1"/>
  <c r="AJ16" i="1"/>
  <c r="R30" i="1"/>
  <c r="Q43" i="1"/>
  <c r="AI20" i="1" s="1"/>
  <c r="N32" i="1"/>
  <c r="M44" i="1"/>
  <c r="N30" i="1"/>
  <c r="N46" i="1"/>
  <c r="O34" i="1"/>
  <c r="K47" i="1"/>
  <c r="L35" i="1"/>
  <c r="N51" i="1"/>
  <c r="N64" i="1" s="1"/>
  <c r="O39" i="1"/>
  <c r="O65" i="1" s="1"/>
  <c r="R52" i="1"/>
  <c r="P52" i="1"/>
  <c r="P65" i="1" s="1"/>
  <c r="Q40" i="1"/>
  <c r="AH16" i="1"/>
  <c r="G30" i="1"/>
  <c r="Y16" i="1"/>
  <c r="F43" i="1"/>
  <c r="X20" i="1" s="1"/>
  <c r="S30" i="1"/>
  <c r="AK16" i="1"/>
  <c r="R43" i="1"/>
  <c r="AJ20" i="1" s="1"/>
  <c r="O32" i="1"/>
  <c r="N44" i="1"/>
  <c r="O30" i="1"/>
  <c r="P34" i="1"/>
  <c r="Q46" i="1"/>
  <c r="O51" i="1"/>
  <c r="Q52" i="1"/>
  <c r="R40" i="1"/>
  <c r="G31" i="1"/>
  <c r="I30" i="1"/>
  <c r="AA16" i="1"/>
  <c r="H43" i="1"/>
  <c r="Z20" i="1" s="1"/>
  <c r="I31" i="1"/>
  <c r="O35" i="1"/>
  <c r="P47" i="1"/>
  <c r="N47" i="1"/>
  <c r="K62" i="1"/>
  <c r="AC8" i="1"/>
  <c r="AC10" i="1" s="1"/>
  <c r="Q51" i="1"/>
  <c r="R39" i="1"/>
  <c r="Q38" i="1"/>
  <c r="O33" i="1"/>
  <c r="N37" i="1"/>
  <c r="R38" i="1"/>
  <c r="M49" i="1"/>
  <c r="P50" i="1"/>
  <c r="F7" i="1"/>
  <c r="F46" i="1" s="1"/>
  <c r="M30" i="1"/>
  <c r="G32" i="1"/>
  <c r="S32" i="1"/>
  <c r="P33" i="1"/>
  <c r="M34" i="1"/>
  <c r="H32" i="1"/>
  <c r="M48" i="1"/>
  <c r="O49" i="1"/>
  <c r="R33" i="1"/>
  <c r="Q37" i="1"/>
  <c r="Q47" i="1"/>
  <c r="P49" i="1"/>
  <c r="R37" i="1"/>
  <c r="Q36" i="1"/>
  <c r="Q39" i="1"/>
  <c r="T43" i="1"/>
  <c r="Q48" i="1"/>
  <c r="Z16" i="1"/>
  <c r="R48" i="1"/>
  <c r="R61" i="1" s="1"/>
  <c r="G47" i="1"/>
  <c r="H59" i="1" l="1"/>
  <c r="Q61" i="1"/>
  <c r="Q59" i="1"/>
  <c r="Z21" i="1"/>
  <c r="J59" i="1"/>
  <c r="P59" i="1"/>
  <c r="M61" i="1"/>
  <c r="N61" i="1"/>
  <c r="L59" i="1"/>
  <c r="R64" i="1"/>
  <c r="P64" i="1"/>
  <c r="M60" i="1"/>
  <c r="O64" i="1"/>
  <c r="N58" i="1"/>
  <c r="K58" i="1"/>
  <c r="R59" i="1"/>
  <c r="N59" i="1"/>
  <c r="Y8" i="1"/>
  <c r="Y10" i="1" s="1"/>
  <c r="Y11" i="1" s="1"/>
  <c r="L60" i="1"/>
  <c r="K56" i="1"/>
  <c r="J57" i="1"/>
  <c r="K59" i="1"/>
  <c r="Q64" i="1"/>
  <c r="H60" i="1"/>
  <c r="P62" i="1"/>
  <c r="J58" i="1"/>
  <c r="L61" i="1"/>
  <c r="K60" i="1"/>
  <c r="Q58" i="1"/>
  <c r="O59" i="1"/>
  <c r="I58" i="1"/>
  <c r="O57" i="1"/>
  <c r="R63" i="1"/>
  <c r="AD10" i="1"/>
  <c r="P60" i="1"/>
  <c r="I57" i="1"/>
  <c r="N57" i="1"/>
  <c r="R60" i="1"/>
  <c r="O58" i="1"/>
  <c r="L62" i="1"/>
  <c r="O63" i="1"/>
  <c r="R57" i="1"/>
  <c r="N62" i="1"/>
  <c r="H56" i="1"/>
  <c r="R62" i="1"/>
  <c r="N60" i="1"/>
  <c r="O66" i="1"/>
  <c r="P63" i="1"/>
  <c r="P57" i="1"/>
  <c r="P58" i="1"/>
  <c r="R58" i="1"/>
  <c r="N63" i="1"/>
  <c r="M58" i="1"/>
  <c r="O62" i="1"/>
  <c r="L58" i="1"/>
  <c r="Q62" i="1"/>
  <c r="AH8" i="1"/>
  <c r="AH10" i="1" s="1"/>
  <c r="H57" i="1"/>
  <c r="Q60" i="1"/>
  <c r="O61" i="1"/>
  <c r="L63" i="1"/>
  <c r="L57" i="1"/>
  <c r="Q63" i="1"/>
  <c r="P61" i="1"/>
  <c r="Q66" i="1"/>
  <c r="AI8" i="1"/>
  <c r="AI10" i="1" s="1"/>
  <c r="M59" i="1"/>
  <c r="T39" i="1"/>
  <c r="T65" i="1" s="1"/>
  <c r="T11" i="1"/>
  <c r="T51" i="1"/>
  <c r="S51" i="1"/>
  <c r="S64" i="1" s="1"/>
  <c r="AJ19" i="1"/>
  <c r="AJ21" i="1" s="1"/>
  <c r="R56" i="1"/>
  <c r="J56" i="1"/>
  <c r="AB19" i="1"/>
  <c r="AB21" i="1" s="1"/>
  <c r="M64" i="1"/>
  <c r="AE8" i="1"/>
  <c r="AE10" i="1" s="1"/>
  <c r="M57" i="1"/>
  <c r="AF8" i="1"/>
  <c r="AF10" i="1" s="1"/>
  <c r="N65" i="1"/>
  <c r="H58" i="1"/>
  <c r="R66" i="1"/>
  <c r="AJ8" i="1"/>
  <c r="AJ10" i="1" s="1"/>
  <c r="AK19" i="1"/>
  <c r="AK21" i="1" s="1"/>
  <c r="S56" i="1"/>
  <c r="F6" i="1"/>
  <c r="F34" i="1"/>
  <c r="F60" i="1" s="1"/>
  <c r="AG19" i="1"/>
  <c r="AG21" i="1" s="1"/>
  <c r="O56" i="1"/>
  <c r="L56" i="1"/>
  <c r="AD19" i="1"/>
  <c r="AD21" i="1" s="1"/>
  <c r="AF19" i="1"/>
  <c r="AF21" i="1" s="1"/>
  <c r="N56" i="1"/>
  <c r="AH19" i="1"/>
  <c r="AH21" i="1" s="1"/>
  <c r="P56" i="1"/>
  <c r="X12" i="1"/>
  <c r="Y19" i="1"/>
  <c r="Y21" i="1" s="1"/>
  <c r="G56" i="1"/>
  <c r="R65" i="1"/>
  <c r="I59" i="1"/>
  <c r="G46" i="1"/>
  <c r="G59" i="1" s="1"/>
  <c r="M62" i="1"/>
  <c r="J61" i="1"/>
  <c r="AB8" i="1"/>
  <c r="AB10" i="1" s="1"/>
  <c r="X23" i="1"/>
  <c r="G60" i="1"/>
  <c r="Q65" i="1"/>
  <c r="I56" i="1"/>
  <c r="AA19" i="1"/>
  <c r="AA21" i="1" s="1"/>
  <c r="O60" i="1"/>
  <c r="AI19" i="1"/>
  <c r="AI21" i="1" s="1"/>
  <c r="Q56" i="1"/>
  <c r="M56" i="1"/>
  <c r="AE19" i="1"/>
  <c r="AE21" i="1" s="1"/>
  <c r="AC21" i="1"/>
  <c r="K61" i="1"/>
  <c r="Q57" i="1"/>
  <c r="Y12" i="1" l="1"/>
  <c r="Z11" i="1"/>
  <c r="AA11" i="1" s="1"/>
  <c r="F33" i="1"/>
  <c r="F59" i="1" s="1"/>
  <c r="F5" i="1"/>
  <c r="F31" i="1"/>
  <c r="F45" i="1"/>
  <c r="G45" i="1"/>
  <c r="G58" i="1" s="1"/>
  <c r="T10" i="1"/>
  <c r="T50" i="1"/>
  <c r="S50" i="1"/>
  <c r="S63" i="1" s="1"/>
  <c r="T38" i="1"/>
  <c r="T64" i="1" s="1"/>
  <c r="Z12" i="1" l="1"/>
  <c r="F32" i="1"/>
  <c r="F58" i="1" s="1"/>
  <c r="F44" i="1"/>
  <c r="F57" i="1" s="1"/>
  <c r="F30" i="1"/>
  <c r="G44" i="1"/>
  <c r="G57" i="1" s="1"/>
  <c r="T9" i="1"/>
  <c r="T49" i="1"/>
  <c r="S49" i="1"/>
  <c r="S62" i="1" s="1"/>
  <c r="T37" i="1"/>
  <c r="T63" i="1" s="1"/>
  <c r="AA12" i="1"/>
  <c r="AB11" i="1"/>
  <c r="X19" i="1" l="1"/>
  <c r="X21" i="1" s="1"/>
  <c r="Y22" i="1" s="1"/>
  <c r="F56" i="1"/>
  <c r="AC11" i="1"/>
  <c r="AB12" i="1"/>
  <c r="T48" i="1"/>
  <c r="T36" i="1"/>
  <c r="T62" i="1" s="1"/>
  <c r="S48" i="1"/>
  <c r="S61" i="1" s="1"/>
  <c r="T8" i="1"/>
  <c r="S47" i="1" l="1"/>
  <c r="S60" i="1" s="1"/>
  <c r="T47" i="1"/>
  <c r="T35" i="1"/>
  <c r="T61" i="1" s="1"/>
  <c r="T7" i="1"/>
  <c r="AD11" i="1"/>
  <c r="AC12" i="1"/>
  <c r="Y23" i="1"/>
  <c r="Z22" i="1"/>
  <c r="AA22" i="1" l="1"/>
  <c r="Z23" i="1"/>
  <c r="AE11" i="1"/>
  <c r="AD12" i="1"/>
  <c r="T34" i="1"/>
  <c r="T60" i="1" s="1"/>
  <c r="T46" i="1"/>
  <c r="S46" i="1"/>
  <c r="S59" i="1" s="1"/>
  <c r="T6" i="1"/>
  <c r="AA23" i="1" l="1"/>
  <c r="AB22" i="1"/>
  <c r="T33" i="1"/>
  <c r="T59" i="1" s="1"/>
  <c r="T5" i="1"/>
  <c r="T45" i="1"/>
  <c r="S45" i="1"/>
  <c r="S58" i="1" s="1"/>
  <c r="T31" i="1"/>
  <c r="AF11" i="1"/>
  <c r="AE12" i="1"/>
  <c r="AG11" i="1" l="1"/>
  <c r="AF12" i="1"/>
  <c r="T44" i="1"/>
  <c r="T57" i="1" s="1"/>
  <c r="S44" i="1"/>
  <c r="S57" i="1" s="1"/>
  <c r="T32" i="1"/>
  <c r="T58" i="1" s="1"/>
  <c r="T30" i="1"/>
  <c r="T56" i="1" s="1"/>
  <c r="AB23" i="1"/>
  <c r="AC22" i="1"/>
  <c r="AC23" i="1" l="1"/>
  <c r="AD22" i="1"/>
  <c r="AH11" i="1"/>
  <c r="AG12" i="1"/>
  <c r="AI11" i="1" l="1"/>
  <c r="AH12" i="1"/>
  <c r="AE22" i="1"/>
  <c r="AD23" i="1"/>
  <c r="AJ11" i="1" l="1"/>
  <c r="AI12" i="1"/>
  <c r="AE23" i="1"/>
  <c r="AF22" i="1"/>
  <c r="AF23" i="1" l="1"/>
  <c r="AG22" i="1"/>
  <c r="AK11" i="1"/>
  <c r="AK12" i="1" s="1"/>
  <c r="AJ12" i="1"/>
  <c r="AG23" i="1" l="1"/>
  <c r="AH22" i="1"/>
  <c r="AH23" i="1" l="1"/>
  <c r="AI22" i="1"/>
  <c r="AI23" i="1" l="1"/>
  <c r="AJ22" i="1"/>
  <c r="AJ23" i="1" l="1"/>
  <c r="AK22" i="1"/>
  <c r="AK23" i="1" s="1"/>
</calcChain>
</file>

<file path=xl/sharedStrings.xml><?xml version="1.0" encoding="utf-8"?>
<sst xmlns="http://schemas.openxmlformats.org/spreadsheetml/2006/main" count="30" uniqueCount="17">
  <si>
    <t>dx=dy</t>
  </si>
  <si>
    <t>V_in</t>
  </si>
  <si>
    <t>ψ</t>
  </si>
  <si>
    <t>p_in</t>
  </si>
  <si>
    <t>V_out</t>
  </si>
  <si>
    <t>x</t>
  </si>
  <si>
    <t>y</t>
  </si>
  <si>
    <t>U</t>
  </si>
  <si>
    <t>V</t>
  </si>
  <si>
    <t>n_iter</t>
  </si>
  <si>
    <t>Vel</t>
  </si>
  <si>
    <t>p</t>
  </si>
  <si>
    <t>N_L</t>
  </si>
  <si>
    <t>Cp</t>
  </si>
  <si>
    <t>N_H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</si>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</sst>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4"/>
      <color theme="1"/>
      <name val="Times New Roman"/>
      <family val="2"/>
      <charset val="204"/>
    </font>
    <font>
      <sz val="14"/>
      <color theme="1"/>
      <name val="Times New Roman"/>
      <family val="1"/>
      <charset val="204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/>
    <xf numFmtId="0" fontId="2" fillId="3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Нижняя стенка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38100">
                <a:solidFill>
                  <a:srgbClr val="FF0000"/>
                </a:solidFill>
              </a:ln>
              <a:effectLst/>
            </c:spPr>
          </c:marker>
          <c:xVal>
            <c:numRef>
              <c:f>[1]Лист1!$F$15:$T$15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[1]Лист1!$X$12:$AL$12</c:f>
              <c:numCache>
                <c:formatCode>General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2C-4786-B45D-2CC096037E73}"/>
            </c:ext>
          </c:extLst>
        </c:ser>
        <c:ser>
          <c:idx val="1"/>
          <c:order val="1"/>
          <c:tx>
            <c:v>Верхняя стенка</c:v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38100">
                <a:solidFill>
                  <a:srgbClr val="0070C0"/>
                </a:solidFill>
              </a:ln>
              <a:effectLst/>
            </c:spPr>
          </c:marker>
          <c:xVal>
            <c:numRef>
              <c:f>[1]Лист1!$F$15:$T$15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[1]Лист1!$X$23:$AL$23</c:f>
              <c:numCache>
                <c:formatCode>General</c:formatCode>
                <c:ptCount val="15"/>
                <c:pt idx="0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2C-4786-B45D-2CC096037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251704"/>
        <c:axId val="548252344"/>
      </c:scatterChart>
      <c:valAx>
        <c:axId val="54825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8252344"/>
        <c:crosses val="autoZero"/>
        <c:crossBetween val="midCat"/>
      </c:valAx>
      <c:valAx>
        <c:axId val="54825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8251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761170</xdr:colOff>
      <xdr:row>23</xdr:row>
      <xdr:rowOff>237917</xdr:rowOff>
    </xdr:from>
    <xdr:to>
      <xdr:col>31</xdr:col>
      <xdr:colOff>0</xdr:colOff>
      <xdr:row>46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CA63614C-EE9F-40D6-BE0E-959B366CBCF9}"/>
            </a:ext>
          </a:extLst>
        </xdr:cNvPr>
        <xdr:cNvGrpSpPr/>
      </xdr:nvGrpSpPr>
      <xdr:grpSpPr>
        <a:xfrm>
          <a:off x="16689087" y="5917639"/>
          <a:ext cx="9504663" cy="5441805"/>
          <a:chOff x="10496549" y="5634036"/>
          <a:chExt cx="6810376" cy="5167314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BBA67BAD-4191-4B0F-A9F9-667F83C0430C}"/>
              </a:ext>
            </a:extLst>
          </xdr:cNvPr>
          <xdr:cNvGraphicFramePr/>
        </xdr:nvGraphicFramePr>
        <xdr:xfrm>
          <a:off x="10496549" y="5634036"/>
          <a:ext cx="6810376" cy="51673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EFE2F34E-D1CB-4DD6-B853-2F529ECB2D99}"/>
                  </a:ext>
                </a:extLst>
              </xdr:cNvPr>
              <xdr:cNvSpPr txBox="1"/>
            </xdr:nvSpPr>
            <xdr:spPr>
              <a:xfrm>
                <a:off x="10572750" y="5657850"/>
                <a:ext cx="302559" cy="295275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ru-RU" sz="1400" b="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ru-RU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e>
                        <m:sub>
                          <m:r>
                            <a:rPr lang="ru-RU" sz="1400" b="0" i="1"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oMath>
                  </m:oMathPara>
                </a14:m>
                <a:endParaRPr lang="ru-RU" sz="14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mc:Choice>
        <mc:Fallback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EFE2F34E-D1CB-4DD6-B853-2F529ECB2D99}"/>
                  </a:ext>
                </a:extLst>
              </xdr:cNvPr>
              <xdr:cNvSpPr txBox="1"/>
            </xdr:nvSpPr>
            <xdr:spPr>
              <a:xfrm>
                <a:off x="10572750" y="5657850"/>
                <a:ext cx="302559" cy="295275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:r>
                  <a:rPr lang="ru-RU" sz="1400" b="0" i="0">
                    <a:latin typeface="Cambria Math" panose="02040503050406030204" pitchFamily="18" charset="0"/>
                  </a:rPr>
                  <a:t>𝐶</a:t>
                </a:r>
                <a:r>
                  <a:rPr lang="ru-RU" sz="1400" b="0" i="0">
                    <a:solidFill>
                      <a:srgbClr val="836967"/>
                    </a:solidFill>
                    <a:latin typeface="Cambria Math" panose="02040503050406030204" pitchFamily="18" charset="0"/>
                  </a:rPr>
                  <a:t>_</a:t>
                </a:r>
                <a:r>
                  <a:rPr lang="ru-RU" sz="1400" b="0" i="0">
                    <a:latin typeface="Cambria Math" panose="02040503050406030204" pitchFamily="18" charset="0"/>
                  </a:rPr>
                  <a:t>𝑝</a:t>
                </a:r>
                <a:endParaRPr lang="ru-RU" sz="1400" b="0" i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mc:Fallback>
      </mc:AlternateContent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CBF26151-FDED-4354-A3E8-E98D3EB77E1B}"/>
              </a:ext>
            </a:extLst>
          </xdr:cNvPr>
          <xdr:cNvSpPr txBox="1"/>
        </xdr:nvSpPr>
        <xdr:spPr>
          <a:xfrm>
            <a:off x="16934889" y="8524874"/>
            <a:ext cx="335616" cy="323851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400" b="0" i="1">
                <a:latin typeface="Times New Roman" panose="020206030504050203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x</a:t>
            </a:r>
            <a:r>
              <a:rPr lang="en-US" sz="1400" b="0" i="0">
                <a:latin typeface="Times New Roman" panose="020206030504050203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, </a:t>
            </a:r>
            <a:r>
              <a:rPr lang="ru-RU" sz="1400" b="0" i="0">
                <a:latin typeface="Times New Roman" panose="020206030504050203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м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lexa\Desktop\&#1056;&#1072;&#1089;&#1095;&#1105;&#1090;%20&#1087;&#1086;&#1090;&#1077;&#1085;&#1094;&#1080;&#1072;&#1083;&#1100;&#1085;&#1086;&#1075;&#1086;%20&#1090;&#1077;&#1095;&#1077;&#1085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X12">
            <v>0</v>
          </cell>
          <cell r="Y12">
            <v>-3.5737079020473177E-2</v>
          </cell>
          <cell r="Z12">
            <v>-9.1033933974686079E-2</v>
          </cell>
          <cell r="AA12">
            <v>-0.2035709116628277</v>
          </cell>
          <cell r="AB12">
            <v>-0.59334649819327756</v>
          </cell>
          <cell r="AC12">
            <v>0.30864062859240221</v>
          </cell>
          <cell r="AD12">
            <v>0.58970058153616267</v>
          </cell>
          <cell r="AE12">
            <v>0.74184416975447676</v>
          </cell>
          <cell r="AF12">
            <v>0.85363227440131595</v>
          </cell>
          <cell r="AG12">
            <v>0.95233497416862523</v>
          </cell>
          <cell r="AH12">
            <v>0.89241445434308841</v>
          </cell>
          <cell r="AI12">
            <v>0.84549092596193076</v>
          </cell>
          <cell r="AJ12">
            <v>0.80891511394293047</v>
          </cell>
          <cell r="AK12">
            <v>0.77836961084074574</v>
          </cell>
          <cell r="AL12">
            <v>0.75</v>
          </cell>
        </row>
        <row r="15">
          <cell r="F15">
            <v>0</v>
          </cell>
          <cell r="G15">
            <v>0.2</v>
          </cell>
          <cell r="H15">
            <v>0.4</v>
          </cell>
          <cell r="I15">
            <v>0.60000000000000009</v>
          </cell>
          <cell r="J15">
            <v>0.8</v>
          </cell>
          <cell r="K15">
            <v>1</v>
          </cell>
          <cell r="L15">
            <v>1.2</v>
          </cell>
          <cell r="M15">
            <v>1.4</v>
          </cell>
          <cell r="N15">
            <v>1.5999999999999999</v>
          </cell>
          <cell r="O15">
            <v>1.7999999999999998</v>
          </cell>
          <cell r="P15">
            <v>1.9999999999999998</v>
          </cell>
          <cell r="Q15">
            <v>2.1999999999999997</v>
          </cell>
          <cell r="R15">
            <v>2.4</v>
          </cell>
          <cell r="S15">
            <v>2.6</v>
          </cell>
          <cell r="T15">
            <v>2.8000000000000003</v>
          </cell>
        </row>
        <row r="23">
          <cell r="X23">
            <v>0</v>
          </cell>
          <cell r="Y23">
            <v>2.8143790411995724E-2</v>
          </cell>
          <cell r="Z23">
            <v>6.3816183311282651E-2</v>
          </cell>
          <cell r="AA23">
            <v>0.11458769048709655</v>
          </cell>
          <cell r="AB23">
            <v>0.18568973066780017</v>
          </cell>
          <cell r="AC23">
            <v>0.27485147035389673</v>
          </cell>
          <cell r="AD23">
            <v>0.36820606542984025</v>
          </cell>
          <cell r="AE23">
            <v>0.45398914727935336</v>
          </cell>
          <cell r="AF23">
            <v>0.52678677880991021</v>
          </cell>
          <cell r="AG23">
            <v>0.5859118388206116</v>
          </cell>
          <cell r="AH23">
            <v>0.63302379823464439</v>
          </cell>
          <cell r="AI23">
            <v>0.67058625851524989</v>
          </cell>
          <cell r="AJ23">
            <v>0.70112116552016235</v>
          </cell>
          <cell r="AK23">
            <v>0.72692518757830837</v>
          </cell>
          <cell r="AL23">
            <v>0.75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6672C-EFB9-4A05-BB87-FB02167347B1}">
  <sheetPr codeName="Лист1"/>
  <dimension ref="A1:AK67"/>
  <sheetViews>
    <sheetView tabSelected="1" zoomScale="54" zoomScaleNormal="54" workbookViewId="0"/>
  </sheetViews>
  <sheetFormatPr defaultRowHeight="18.75" x14ac:dyDescent="0.3"/>
  <cols>
    <col min="24" max="37" width="12.77734375" customWidth="1"/>
  </cols>
  <sheetData>
    <row r="1" spans="1:37" x14ac:dyDescent="0.3">
      <c r="A1" s="1"/>
      <c r="B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x14ac:dyDescent="0.3">
      <c r="A2" s="4" t="s">
        <v>0</v>
      </c>
      <c r="B2" s="4">
        <v>0.2</v>
      </c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 x14ac:dyDescent="0.3">
      <c r="A3" s="1"/>
      <c r="B3" s="1"/>
      <c r="D3" s="2"/>
      <c r="E3" s="3"/>
      <c r="F3" s="5">
        <v>1</v>
      </c>
      <c r="G3" s="5">
        <v>2</v>
      </c>
      <c r="H3" s="5">
        <v>3</v>
      </c>
      <c r="I3" s="6">
        <v>4</v>
      </c>
      <c r="J3" s="6">
        <v>5</v>
      </c>
      <c r="K3" s="6">
        <v>6</v>
      </c>
      <c r="L3" s="6">
        <v>7</v>
      </c>
      <c r="M3" s="6">
        <v>8</v>
      </c>
      <c r="N3" s="6">
        <v>9</v>
      </c>
      <c r="O3" s="6">
        <v>10</v>
      </c>
      <c r="P3" s="6">
        <v>11</v>
      </c>
      <c r="Q3" s="6">
        <v>12</v>
      </c>
      <c r="R3" s="6">
        <v>13</v>
      </c>
      <c r="S3" s="6">
        <v>14</v>
      </c>
      <c r="T3" s="6">
        <v>15</v>
      </c>
      <c r="U3" s="1"/>
      <c r="V3" s="7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3">
      <c r="A4" s="4" t="s">
        <v>1</v>
      </c>
      <c r="B4" s="4">
        <v>10</v>
      </c>
      <c r="D4" s="8" t="s">
        <v>2</v>
      </c>
      <c r="E4" s="9">
        <f t="shared" ref="E4:E12" si="0">E5+$B$2</f>
        <v>1.9999999999999998</v>
      </c>
      <c r="F4" s="10">
        <f t="shared" ref="F4:T4" si="1">$B$4</f>
        <v>10</v>
      </c>
      <c r="G4" s="10">
        <f t="shared" si="1"/>
        <v>10</v>
      </c>
      <c r="H4" s="10">
        <f t="shared" si="1"/>
        <v>10</v>
      </c>
      <c r="I4" s="11">
        <f t="shared" si="1"/>
        <v>10</v>
      </c>
      <c r="J4" s="11">
        <f t="shared" si="1"/>
        <v>10</v>
      </c>
      <c r="K4" s="11">
        <f t="shared" si="1"/>
        <v>10</v>
      </c>
      <c r="L4" s="11">
        <f t="shared" si="1"/>
        <v>10</v>
      </c>
      <c r="M4" s="11">
        <f t="shared" si="1"/>
        <v>10</v>
      </c>
      <c r="N4" s="11">
        <f t="shared" si="1"/>
        <v>10</v>
      </c>
      <c r="O4" s="11">
        <f t="shared" si="1"/>
        <v>10</v>
      </c>
      <c r="P4" s="11">
        <f t="shared" si="1"/>
        <v>10</v>
      </c>
      <c r="Q4" s="11">
        <f t="shared" si="1"/>
        <v>10</v>
      </c>
      <c r="R4" s="11">
        <f t="shared" si="1"/>
        <v>10</v>
      </c>
      <c r="S4" s="11">
        <f t="shared" si="1"/>
        <v>10</v>
      </c>
      <c r="T4" s="11">
        <f t="shared" si="1"/>
        <v>10</v>
      </c>
      <c r="U4" s="6">
        <v>11</v>
      </c>
      <c r="V4" s="7"/>
      <c r="W4" s="12"/>
      <c r="X4" s="4">
        <v>1</v>
      </c>
      <c r="Y4" s="4">
        <v>2</v>
      </c>
      <c r="Z4" s="4">
        <v>3</v>
      </c>
      <c r="AA4" s="4">
        <v>4</v>
      </c>
      <c r="AB4" s="4">
        <v>5</v>
      </c>
      <c r="AC4" s="4">
        <v>6</v>
      </c>
      <c r="AD4" s="4">
        <v>7</v>
      </c>
      <c r="AE4" s="4">
        <v>8</v>
      </c>
      <c r="AF4" s="4">
        <v>9</v>
      </c>
      <c r="AG4" s="4">
        <v>10</v>
      </c>
      <c r="AH4" s="4">
        <v>11</v>
      </c>
      <c r="AI4" s="4">
        <v>12</v>
      </c>
      <c r="AJ4" s="4">
        <v>13</v>
      </c>
      <c r="AK4" s="4">
        <v>14</v>
      </c>
    </row>
    <row r="5" spans="1:37" x14ac:dyDescent="0.3">
      <c r="A5" s="4" t="s">
        <v>3</v>
      </c>
      <c r="B5" s="4">
        <v>101325</v>
      </c>
      <c r="D5" s="2"/>
      <c r="E5" s="9">
        <f t="shared" si="0"/>
        <v>1.7999999999999998</v>
      </c>
      <c r="F5" s="10">
        <f t="shared" ref="F5:F8" si="2">F6+$B$4*$B$2</f>
        <v>8</v>
      </c>
      <c r="G5" s="13">
        <f>0.25*(F18+G17+H18+G19)</f>
        <v>8.0283446536118888</v>
      </c>
      <c r="H5" s="13">
        <f t="shared" ref="H5:S5" si="3">0.25*(G18+H17+I18+H19)</f>
        <v>8.0648681706752168</v>
      </c>
      <c r="I5" s="14">
        <f t="shared" si="3"/>
        <v>8.1180730284595946</v>
      </c>
      <c r="J5" s="14">
        <f t="shared" si="3"/>
        <v>8.1952172103898704</v>
      </c>
      <c r="K5" s="14">
        <f t="shared" si="3"/>
        <v>8.2968869943599852</v>
      </c>
      <c r="L5" s="14">
        <f t="shared" si="3"/>
        <v>8.4102907540808491</v>
      </c>
      <c r="M5" s="14">
        <f t="shared" si="3"/>
        <v>8.5221491515603613</v>
      </c>
      <c r="N5" s="14">
        <f t="shared" si="3"/>
        <v>8.6241902045622503</v>
      </c>
      <c r="O5" s="14">
        <f t="shared" si="3"/>
        <v>8.7130064632652111</v>
      </c>
      <c r="P5" s="14">
        <f t="shared" si="3"/>
        <v>8.7884288893720246</v>
      </c>
      <c r="Q5" s="14">
        <f t="shared" si="3"/>
        <v>8.8521085576106397</v>
      </c>
      <c r="R5" s="14">
        <f t="shared" si="3"/>
        <v>8.9066038242224224</v>
      </c>
      <c r="S5" s="14">
        <f t="shared" si="3"/>
        <v>8.9548688221783639</v>
      </c>
      <c r="T5" s="11">
        <f t="shared" ref="T5:T12" si="4">T6+$B$2*$B$6</f>
        <v>9</v>
      </c>
      <c r="U5" s="6">
        <v>10</v>
      </c>
      <c r="V5" s="7"/>
      <c r="W5" s="4" t="s">
        <v>2</v>
      </c>
      <c r="X5" s="15">
        <v>0</v>
      </c>
      <c r="Y5" s="15">
        <v>0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0</v>
      </c>
      <c r="AJ5" s="15">
        <v>0</v>
      </c>
      <c r="AK5" s="15">
        <v>0</v>
      </c>
    </row>
    <row r="6" spans="1:37" x14ac:dyDescent="0.3">
      <c r="A6" s="4" t="s">
        <v>4</v>
      </c>
      <c r="B6" s="4">
        <f>((E4-E9)*B4)/(E4-E14)</f>
        <v>5</v>
      </c>
      <c r="D6" s="2">
        <v>300</v>
      </c>
      <c r="E6" s="9">
        <f t="shared" si="0"/>
        <v>1.5999999999999999</v>
      </c>
      <c r="F6" s="10">
        <f t="shared" si="2"/>
        <v>6</v>
      </c>
      <c r="G6" s="13">
        <f t="shared" ref="G6:S13" si="5">0.25*(F19+G18+H19+G20)</f>
        <v>6.0485104437723347</v>
      </c>
      <c r="H6" s="13">
        <f t="shared" si="5"/>
        <v>6.113055000629382</v>
      </c>
      <c r="I6" s="14">
        <f t="shared" si="5"/>
        <v>6.2122067327732928</v>
      </c>
      <c r="J6" s="14">
        <f t="shared" si="5"/>
        <v>6.3659088187399</v>
      </c>
      <c r="K6" s="14">
        <f t="shared" si="5"/>
        <v>6.5820400129692231</v>
      </c>
      <c r="L6" s="14">
        <f t="shared" si="5"/>
        <v>6.8221268704030482</v>
      </c>
      <c r="M6" s="14">
        <f t="shared" si="5"/>
        <v>7.054115647598346</v>
      </c>
      <c r="N6" s="14">
        <f t="shared" si="5"/>
        <v>7.2616052034234295</v>
      </c>
      <c r="O6" s="14">
        <f t="shared" si="5"/>
        <v>7.4394067591265722</v>
      </c>
      <c r="P6" s="14">
        <f t="shared" si="5"/>
        <v>7.5886005366122475</v>
      </c>
      <c r="Q6" s="14">
        <f t="shared" si="5"/>
        <v>7.7134015168481138</v>
      </c>
      <c r="R6" s="14">
        <f t="shared" si="5"/>
        <v>7.8194379171006894</v>
      </c>
      <c r="S6" s="14">
        <f t="shared" si="5"/>
        <v>7.9128714644910305</v>
      </c>
      <c r="T6" s="11">
        <f t="shared" si="4"/>
        <v>8</v>
      </c>
      <c r="U6" s="6">
        <v>9</v>
      </c>
      <c r="V6" s="7"/>
      <c r="W6" s="4" t="s">
        <v>5</v>
      </c>
      <c r="X6" s="15">
        <v>0</v>
      </c>
      <c r="Y6" s="15">
        <f>X6+$B$2</f>
        <v>0.2</v>
      </c>
      <c r="Z6" s="15">
        <f t="shared" ref="Z6:AK6" si="6">Y6+$B$2</f>
        <v>0.4</v>
      </c>
      <c r="AA6" s="15">
        <f t="shared" si="6"/>
        <v>0.60000000000000009</v>
      </c>
      <c r="AB6" s="15">
        <f t="shared" si="6"/>
        <v>0.8</v>
      </c>
      <c r="AC6" s="15">
        <f t="shared" si="6"/>
        <v>1</v>
      </c>
      <c r="AD6" s="15">
        <f t="shared" si="6"/>
        <v>1.2</v>
      </c>
      <c r="AE6" s="15">
        <f t="shared" si="6"/>
        <v>1.4</v>
      </c>
      <c r="AF6" s="15">
        <f t="shared" si="6"/>
        <v>1.5999999999999999</v>
      </c>
      <c r="AG6" s="15">
        <f t="shared" si="6"/>
        <v>1.7999999999999998</v>
      </c>
      <c r="AH6" s="15">
        <f t="shared" si="6"/>
        <v>1.9999999999999998</v>
      </c>
      <c r="AI6" s="15">
        <f t="shared" si="6"/>
        <v>2.1999999999999997</v>
      </c>
      <c r="AJ6" s="15">
        <f t="shared" si="6"/>
        <v>2.4</v>
      </c>
      <c r="AK6" s="15">
        <f t="shared" si="6"/>
        <v>2.6</v>
      </c>
    </row>
    <row r="7" spans="1:37" x14ac:dyDescent="0.3">
      <c r="A7" s="1"/>
      <c r="B7" s="1"/>
      <c r="D7" s="2"/>
      <c r="E7" s="9">
        <f t="shared" si="0"/>
        <v>1.4</v>
      </c>
      <c r="F7" s="10">
        <f t="shared" si="2"/>
        <v>4</v>
      </c>
      <c r="G7" s="13">
        <f t="shared" si="5"/>
        <v>4.0526421208480707</v>
      </c>
      <c r="H7" s="13">
        <f t="shared" si="5"/>
        <v>4.1266346552966837</v>
      </c>
      <c r="I7" s="14">
        <f t="shared" si="5"/>
        <v>4.2517900832642974</v>
      </c>
      <c r="J7" s="14">
        <f t="shared" si="5"/>
        <v>4.4741713188272154</v>
      </c>
      <c r="K7" s="14">
        <f t="shared" si="5"/>
        <v>4.8432373683739582</v>
      </c>
      <c r="L7" s="14">
        <f t="shared" si="5"/>
        <v>5.2420610669637782</v>
      </c>
      <c r="M7" s="14">
        <f t="shared" si="5"/>
        <v>5.6105813650065466</v>
      </c>
      <c r="N7" s="14">
        <f t="shared" si="5"/>
        <v>5.9287082024065514</v>
      </c>
      <c r="O7" s="14">
        <f t="shared" si="5"/>
        <v>6.1944148332054034</v>
      </c>
      <c r="P7" s="14">
        <f t="shared" si="5"/>
        <v>6.4131649811022839</v>
      </c>
      <c r="Q7" s="14">
        <f t="shared" si="5"/>
        <v>6.5934590560688804</v>
      </c>
      <c r="R7" s="14">
        <f t="shared" si="5"/>
        <v>6.744874862841189</v>
      </c>
      <c r="S7" s="14">
        <f t="shared" si="5"/>
        <v>6.8771791186850706</v>
      </c>
      <c r="T7" s="11">
        <f t="shared" si="4"/>
        <v>7</v>
      </c>
      <c r="U7" s="6">
        <v>8</v>
      </c>
      <c r="V7" s="7"/>
      <c r="W7" s="4" t="s">
        <v>6</v>
      </c>
      <c r="X7" s="15">
        <v>1</v>
      </c>
      <c r="Y7" s="15">
        <v>1</v>
      </c>
      <c r="Z7" s="15">
        <v>1</v>
      </c>
      <c r="AA7" s="15">
        <v>1</v>
      </c>
      <c r="AB7" s="15">
        <v>1</v>
      </c>
      <c r="AC7" s="15">
        <v>0.8</v>
      </c>
      <c r="AD7" s="15">
        <v>0.6</v>
      </c>
      <c r="AE7" s="15">
        <v>0.4</v>
      </c>
      <c r="AF7" s="15">
        <v>0.2</v>
      </c>
      <c r="AG7" s="15">
        <v>0</v>
      </c>
      <c r="AH7" s="15">
        <v>0</v>
      </c>
      <c r="AI7" s="15">
        <v>0</v>
      </c>
      <c r="AJ7" s="15">
        <v>0</v>
      </c>
      <c r="AK7" s="15">
        <v>0</v>
      </c>
    </row>
    <row r="8" spans="1:37" x14ac:dyDescent="0.3">
      <c r="A8" s="1"/>
      <c r="B8" s="1"/>
      <c r="D8" s="2"/>
      <c r="E8" s="9">
        <f t="shared" si="0"/>
        <v>1.2</v>
      </c>
      <c r="F8" s="10">
        <f t="shared" si="2"/>
        <v>2</v>
      </c>
      <c r="G8" s="13">
        <f t="shared" si="5"/>
        <v>2.0354233843232645</v>
      </c>
      <c r="H8" s="13">
        <f t="shared" si="5"/>
        <v>2.0890514164449865</v>
      </c>
      <c r="I8" s="14">
        <f t="shared" si="5"/>
        <v>2.1941476261599977</v>
      </c>
      <c r="J8" s="14">
        <f t="shared" si="5"/>
        <v>2.4357490049307073</v>
      </c>
      <c r="K8" s="14">
        <f t="shared" si="5"/>
        <v>3.0746770747356171</v>
      </c>
      <c r="L8" s="14">
        <f t="shared" si="5"/>
        <v>3.6922986640715627</v>
      </c>
      <c r="M8" s="14">
        <f t="shared" si="5"/>
        <v>4.2174405430575126</v>
      </c>
      <c r="N8" s="14">
        <f t="shared" si="5"/>
        <v>4.6482314079908296</v>
      </c>
      <c r="O8" s="14">
        <f t="shared" si="5"/>
        <v>4.9963793901862088</v>
      </c>
      <c r="P8" s="14">
        <f t="shared" si="5"/>
        <v>5.2761854985226035</v>
      </c>
      <c r="Q8" s="14">
        <f t="shared" si="5"/>
        <v>5.5023948634839366</v>
      </c>
      <c r="R8" s="14">
        <f t="shared" si="5"/>
        <v>5.6894233595101191</v>
      </c>
      <c r="S8" s="14">
        <f t="shared" si="5"/>
        <v>5.8509701474080629</v>
      </c>
      <c r="T8" s="11">
        <f t="shared" si="4"/>
        <v>6</v>
      </c>
      <c r="U8" s="6">
        <v>7</v>
      </c>
      <c r="V8" s="7"/>
      <c r="W8" s="4" t="s">
        <v>7</v>
      </c>
      <c r="X8" s="15">
        <f>F35</f>
        <v>10</v>
      </c>
      <c r="Y8" s="15">
        <f t="shared" ref="Y8:AB8" si="7">G35</f>
        <v>10.177116921616323</v>
      </c>
      <c r="Z8" s="15">
        <f t="shared" si="7"/>
        <v>10.445257082224932</v>
      </c>
      <c r="AA8" s="15">
        <f t="shared" si="7"/>
        <v>10.970738130799988</v>
      </c>
      <c r="AB8" s="15">
        <f t="shared" si="7"/>
        <v>12.178745024653535</v>
      </c>
      <c r="AC8" s="15">
        <f>K36</f>
        <v>6.6371163078312021</v>
      </c>
      <c r="AD8" s="15">
        <f>L37</f>
        <v>5.0084561265923533</v>
      </c>
      <c r="AE8" s="15">
        <f>M38</f>
        <v>3.9931586871215505</v>
      </c>
      <c r="AF8" s="15">
        <f>N39</f>
        <v>3.1416989407734488</v>
      </c>
      <c r="AG8" s="15">
        <f>O40</f>
        <v>2.1832323911911291</v>
      </c>
      <c r="AH8" s="15">
        <f t="shared" ref="AH8:AK8" si="8">P40</f>
        <v>3.2800239014342392</v>
      </c>
      <c r="AI8" s="15">
        <f t="shared" si="8"/>
        <v>3.9307645589770446</v>
      </c>
      <c r="AJ8" s="15">
        <f t="shared" si="8"/>
        <v>4.3713259855868598</v>
      </c>
      <c r="AK8" s="15">
        <f t="shared" si="8"/>
        <v>4.7077638260594634</v>
      </c>
    </row>
    <row r="9" spans="1:37" x14ac:dyDescent="0.3">
      <c r="A9" s="1"/>
      <c r="B9" s="1"/>
      <c r="D9" s="2"/>
      <c r="E9" s="9">
        <f t="shared" si="0"/>
        <v>1</v>
      </c>
      <c r="F9" s="10">
        <v>0</v>
      </c>
      <c r="G9" s="10">
        <v>0</v>
      </c>
      <c r="H9" s="10">
        <v>0</v>
      </c>
      <c r="I9" s="11">
        <v>0</v>
      </c>
      <c r="J9" s="11">
        <v>0</v>
      </c>
      <c r="K9" s="14">
        <f t="shared" si="5"/>
        <v>1.3274232615662405</v>
      </c>
      <c r="L9" s="14">
        <f t="shared" si="5"/>
        <v>2.2350159715293461</v>
      </c>
      <c r="M9" s="14">
        <f t="shared" si="5"/>
        <v>2.9186507351611106</v>
      </c>
      <c r="N9" s="14">
        <f t="shared" si="5"/>
        <v>3.4503974963130499</v>
      </c>
      <c r="O9" s="14">
        <f t="shared" si="5"/>
        <v>3.866685821026</v>
      </c>
      <c r="P9" s="14">
        <f t="shared" si="5"/>
        <v>4.1928027593179875</v>
      </c>
      <c r="Q9" s="14">
        <f t="shared" si="5"/>
        <v>4.4505115398341468</v>
      </c>
      <c r="R9" s="14">
        <f t="shared" si="5"/>
        <v>4.6594535643072899</v>
      </c>
      <c r="S9" s="14">
        <f t="shared" si="5"/>
        <v>4.8372781114370635</v>
      </c>
      <c r="T9" s="11">
        <f t="shared" si="4"/>
        <v>5</v>
      </c>
      <c r="U9" s="6">
        <v>6</v>
      </c>
      <c r="V9" s="7"/>
      <c r="W9" s="4" t="s">
        <v>8</v>
      </c>
      <c r="X9" s="15">
        <f>F48</f>
        <v>0</v>
      </c>
      <c r="Y9" s="15">
        <f>G48</f>
        <v>0</v>
      </c>
      <c r="Z9" s="15">
        <f>H48</f>
        <v>0</v>
      </c>
      <c r="AA9" s="15">
        <f>I48</f>
        <v>0</v>
      </c>
      <c r="AB9" s="15">
        <f>J48</f>
        <v>-3.318558153915601</v>
      </c>
      <c r="AC9" s="15">
        <f>K49</f>
        <v>-5.0084561265923533</v>
      </c>
      <c r="AD9" s="15">
        <f>L50</f>
        <v>-3.9931586871215505</v>
      </c>
      <c r="AE9" s="15">
        <f>M51</f>
        <v>-3.1416989407734488</v>
      </c>
      <c r="AF9" s="15">
        <f>N52</f>
        <v>-2.1832323911911291</v>
      </c>
      <c r="AG9" s="15">
        <f>O53</f>
        <v>0</v>
      </c>
      <c r="AH9" s="15">
        <f t="shared" ref="AH9:AK9" si="9">P53</f>
        <v>0</v>
      </c>
      <c r="AI9" s="15">
        <f t="shared" si="9"/>
        <v>0</v>
      </c>
      <c r="AJ9" s="15">
        <f t="shared" si="9"/>
        <v>0</v>
      </c>
      <c r="AK9" s="15">
        <f t="shared" si="9"/>
        <v>0</v>
      </c>
    </row>
    <row r="10" spans="1:37" x14ac:dyDescent="0.3">
      <c r="A10" s="4" t="s">
        <v>9</v>
      </c>
      <c r="B10" s="4">
        <v>300</v>
      </c>
      <c r="C10">
        <v>300</v>
      </c>
      <c r="D10" s="2"/>
      <c r="E10" s="9">
        <f t="shared" si="0"/>
        <v>0.8</v>
      </c>
      <c r="F10" s="16"/>
      <c r="G10" s="16"/>
      <c r="H10" s="16"/>
      <c r="I10" s="17"/>
      <c r="J10" s="17"/>
      <c r="K10" s="11">
        <v>0</v>
      </c>
      <c r="L10" s="14">
        <f t="shared" si="5"/>
        <v>1.0016912253184707</v>
      </c>
      <c r="M10" s="14">
        <f t="shared" si="5"/>
        <v>1.7717489297445379</v>
      </c>
      <c r="N10" s="14">
        <f t="shared" si="5"/>
        <v>2.3680220210742609</v>
      </c>
      <c r="O10" s="14">
        <f t="shared" si="5"/>
        <v>2.8271636382867547</v>
      </c>
      <c r="P10" s="14">
        <f t="shared" si="5"/>
        <v>3.177828177889205</v>
      </c>
      <c r="Q10" s="14">
        <f t="shared" si="5"/>
        <v>3.4473949722273742</v>
      </c>
      <c r="R10" s="14">
        <f t="shared" si="5"/>
        <v>3.6606012464478317</v>
      </c>
      <c r="S10" s="14">
        <f t="shared" si="5"/>
        <v>3.8386887340329023</v>
      </c>
      <c r="T10" s="11">
        <f t="shared" si="4"/>
        <v>4</v>
      </c>
      <c r="U10" s="6">
        <v>5</v>
      </c>
      <c r="V10" s="7"/>
      <c r="W10" s="4" t="s">
        <v>10</v>
      </c>
      <c r="X10" s="15">
        <f>(X8^2+X9^2)^0.5</f>
        <v>10</v>
      </c>
      <c r="Y10" s="15">
        <f t="shared" ref="Y10:AK10" si="10">(Y8^2+Y9^2)^0.5</f>
        <v>10.177116921616323</v>
      </c>
      <c r="Z10" s="15">
        <f t="shared" si="10"/>
        <v>10.445257082224932</v>
      </c>
      <c r="AA10" s="15">
        <f t="shared" si="10"/>
        <v>10.970738130799988</v>
      </c>
      <c r="AB10" s="15">
        <f t="shared" si="10"/>
        <v>12.622783314168194</v>
      </c>
      <c r="AC10" s="15">
        <f t="shared" si="10"/>
        <v>8.3148028031745511</v>
      </c>
      <c r="AD10" s="15">
        <f t="shared" si="10"/>
        <v>6.4054624401782876</v>
      </c>
      <c r="AE10" s="15">
        <f t="shared" si="10"/>
        <v>5.0809043028767347</v>
      </c>
      <c r="AF10" s="15">
        <f t="shared" si="10"/>
        <v>3.8258039558245982</v>
      </c>
      <c r="AG10" s="15">
        <f t="shared" si="10"/>
        <v>2.1832323911911291</v>
      </c>
      <c r="AH10" s="15">
        <f t="shared" si="10"/>
        <v>3.2800239014342392</v>
      </c>
      <c r="AI10" s="15">
        <f t="shared" si="10"/>
        <v>3.9307645589770446</v>
      </c>
      <c r="AJ10" s="15">
        <f t="shared" si="10"/>
        <v>4.3713259855868598</v>
      </c>
      <c r="AK10" s="15">
        <f t="shared" si="10"/>
        <v>4.7077638260594634</v>
      </c>
    </row>
    <row r="11" spans="1:37" x14ac:dyDescent="0.3">
      <c r="A11" s="1"/>
      <c r="B11" s="1"/>
      <c r="D11" s="2"/>
      <c r="E11" s="9">
        <f t="shared" si="0"/>
        <v>0.60000000000000009</v>
      </c>
      <c r="F11" s="16"/>
      <c r="G11" s="16"/>
      <c r="H11" s="16"/>
      <c r="I11" s="17"/>
      <c r="J11" s="17"/>
      <c r="K11" s="17"/>
      <c r="L11" s="11">
        <v>0</v>
      </c>
      <c r="M11" s="14">
        <f t="shared" si="5"/>
        <v>0.79863173742431015</v>
      </c>
      <c r="N11" s="14">
        <f t="shared" si="5"/>
        <v>1.4227780199527036</v>
      </c>
      <c r="O11" s="14">
        <f t="shared" si="5"/>
        <v>1.896118533157555</v>
      </c>
      <c r="P11" s="14">
        <f t="shared" si="5"/>
        <v>2.2439513417247072</v>
      </c>
      <c r="Q11" s="14">
        <f t="shared" si="5"/>
        <v>2.5006389247383143</v>
      </c>
      <c r="R11" s="14">
        <f t="shared" si="5"/>
        <v>2.6968677152237617</v>
      </c>
      <c r="S11" s="14">
        <f t="shared" si="5"/>
        <v>2.8568755782467155</v>
      </c>
      <c r="T11" s="11">
        <f t="shared" si="4"/>
        <v>3</v>
      </c>
      <c r="U11" s="6">
        <v>4</v>
      </c>
      <c r="V11" s="7"/>
      <c r="W11" s="4" t="s">
        <v>11</v>
      </c>
      <c r="X11" s="15">
        <f>B5</f>
        <v>101325</v>
      </c>
      <c r="Y11" s="15">
        <f>(X11+(X10^2)/2)-(Y10^2)/2</f>
        <v>101323.21314558187</v>
      </c>
      <c r="Z11" s="15">
        <f t="shared" ref="Z11:AK11" si="11">(Y11+(Y10^2)/2)-(Z10^2)/2</f>
        <v>101320.44830224311</v>
      </c>
      <c r="AA11" s="15">
        <f t="shared" si="11"/>
        <v>101314.8214524327</v>
      </c>
      <c r="AB11" s="15">
        <f t="shared" si="11"/>
        <v>101295.33267070178</v>
      </c>
      <c r="AC11" s="15">
        <f t="shared" si="11"/>
        <v>101340.43202717217</v>
      </c>
      <c r="AD11" s="15">
        <f t="shared" si="11"/>
        <v>101354.48502546373</v>
      </c>
      <c r="AE11" s="15">
        <f t="shared" si="11"/>
        <v>101362.09220573251</v>
      </c>
      <c r="AF11" s="15">
        <f t="shared" si="11"/>
        <v>101367.6816120458</v>
      </c>
      <c r="AG11" s="15">
        <f t="shared" si="11"/>
        <v>101372.61674816303</v>
      </c>
      <c r="AH11" s="15">
        <f t="shared" si="11"/>
        <v>101369.62072160302</v>
      </c>
      <c r="AI11" s="15">
        <f t="shared" si="11"/>
        <v>101367.27454499094</v>
      </c>
      <c r="AJ11" s="15">
        <f t="shared" si="11"/>
        <v>101365.44575456387</v>
      </c>
      <c r="AK11" s="15">
        <f t="shared" si="11"/>
        <v>101363.91847987902</v>
      </c>
    </row>
    <row r="12" spans="1:37" x14ac:dyDescent="0.3">
      <c r="A12" s="4" t="s">
        <v>12</v>
      </c>
      <c r="B12" s="4">
        <v>15</v>
      </c>
      <c r="D12" s="2"/>
      <c r="E12" s="9">
        <f t="shared" si="0"/>
        <v>0.4</v>
      </c>
      <c r="F12" s="16"/>
      <c r="G12" s="16"/>
      <c r="H12" s="16"/>
      <c r="I12" s="17"/>
      <c r="J12" s="17"/>
      <c r="K12" s="17"/>
      <c r="L12" s="17"/>
      <c r="M12" s="11">
        <v>0</v>
      </c>
      <c r="N12" s="14">
        <f t="shared" si="5"/>
        <v>0.62833978815468983</v>
      </c>
      <c r="O12" s="14">
        <f t="shared" si="5"/>
        <v>1.0905811326660566</v>
      </c>
      <c r="P12" s="14">
        <f t="shared" si="5"/>
        <v>1.4012197311137566</v>
      </c>
      <c r="Q12" s="14">
        <f t="shared" si="5"/>
        <v>1.6143416697774164</v>
      </c>
      <c r="R12" s="14">
        <f t="shared" si="5"/>
        <v>1.7693551114621868</v>
      </c>
      <c r="S12" s="14">
        <f t="shared" si="5"/>
        <v>1.8919458637301987</v>
      </c>
      <c r="T12" s="11">
        <f t="shared" si="4"/>
        <v>2</v>
      </c>
      <c r="U12" s="6">
        <v>3</v>
      </c>
      <c r="V12" s="7"/>
      <c r="W12" s="4" t="s">
        <v>13</v>
      </c>
      <c r="X12" s="15">
        <f>(X11-$B$5)/(($X$10^2)/2)</f>
        <v>0</v>
      </c>
      <c r="Y12" s="15">
        <f t="shared" ref="Y12:AK12" si="12">(Y11-$B$5)/(($X$10^2)/2)</f>
        <v>-3.5737088362511715E-2</v>
      </c>
      <c r="Z12" s="15">
        <f t="shared" si="12"/>
        <v>-9.103395513782743E-2</v>
      </c>
      <c r="AA12" s="15">
        <f t="shared" si="12"/>
        <v>-0.20357095134590053</v>
      </c>
      <c r="AB12" s="15">
        <f t="shared" si="12"/>
        <v>-0.59334658596431833</v>
      </c>
      <c r="AC12" s="15">
        <f t="shared" si="12"/>
        <v>0.30864054344332542</v>
      </c>
      <c r="AD12" s="15">
        <f t="shared" si="12"/>
        <v>0.58970050927455309</v>
      </c>
      <c r="AE12" s="15">
        <f t="shared" si="12"/>
        <v>0.74184411465015732</v>
      </c>
      <c r="AF12" s="15">
        <f t="shared" si="12"/>
        <v>0.85363224091590384</v>
      </c>
      <c r="AG12" s="15">
        <f t="shared" si="12"/>
        <v>0.95233496326050959</v>
      </c>
      <c r="AH12" s="15">
        <f t="shared" si="12"/>
        <v>0.89241443206032267</v>
      </c>
      <c r="AI12" s="15">
        <f t="shared" si="12"/>
        <v>0.84549089981883296</v>
      </c>
      <c r="AJ12" s="15">
        <f t="shared" si="12"/>
        <v>0.80891509127744943</v>
      </c>
      <c r="AK12" s="15">
        <f t="shared" si="12"/>
        <v>0.77836959758045854</v>
      </c>
    </row>
    <row r="13" spans="1:37" x14ac:dyDescent="0.3">
      <c r="A13" s="4" t="s">
        <v>14</v>
      </c>
      <c r="B13" s="4">
        <v>11</v>
      </c>
      <c r="D13" s="2"/>
      <c r="E13" s="9">
        <f>E14+$B$2</f>
        <v>0.2</v>
      </c>
      <c r="F13" s="16"/>
      <c r="G13" s="16"/>
      <c r="H13" s="16"/>
      <c r="I13" s="17"/>
      <c r="J13" s="17"/>
      <c r="K13" s="17"/>
      <c r="L13" s="17"/>
      <c r="M13" s="17"/>
      <c r="N13" s="11">
        <v>0</v>
      </c>
      <c r="O13" s="14">
        <f t="shared" si="5"/>
        <v>0.43664647823822589</v>
      </c>
      <c r="P13" s="14">
        <f t="shared" si="5"/>
        <v>0.65600478028684783</v>
      </c>
      <c r="Q13" s="14">
        <f t="shared" si="5"/>
        <v>0.78615291179540892</v>
      </c>
      <c r="R13" s="14">
        <f t="shared" si="5"/>
        <v>0.87426519711737205</v>
      </c>
      <c r="S13" s="14">
        <f t="shared" si="5"/>
        <v>0.94155276521189268</v>
      </c>
      <c r="T13" s="11">
        <f>T14+$B$2*$B$6</f>
        <v>1</v>
      </c>
      <c r="U13" s="6">
        <v>2</v>
      </c>
      <c r="V13" s="7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3">
      <c r="A14" s="4" t="s">
        <v>15</v>
      </c>
      <c r="B14" s="4">
        <v>15</v>
      </c>
      <c r="D14" s="2"/>
      <c r="E14" s="9">
        <v>0</v>
      </c>
      <c r="F14" s="16"/>
      <c r="G14" s="16"/>
      <c r="H14" s="16"/>
      <c r="I14" s="17"/>
      <c r="J14" s="17"/>
      <c r="K14" s="17"/>
      <c r="L14" s="17"/>
      <c r="M14" s="17"/>
      <c r="N14" s="17"/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6">
        <v>1</v>
      </c>
      <c r="V14" s="7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3">
      <c r="A15" s="4" t="s">
        <v>16</v>
      </c>
      <c r="B15" s="4">
        <v>6</v>
      </c>
      <c r="D15" s="2"/>
      <c r="E15" s="16"/>
      <c r="F15" s="9">
        <v>0</v>
      </c>
      <c r="G15" s="9">
        <f>F15+$B$2</f>
        <v>0.2</v>
      </c>
      <c r="H15" s="9">
        <f t="shared" ref="H15:T15" si="13">G15+$B$2</f>
        <v>0.4</v>
      </c>
      <c r="I15" s="18">
        <f t="shared" si="13"/>
        <v>0.60000000000000009</v>
      </c>
      <c r="J15" s="18">
        <f t="shared" si="13"/>
        <v>0.8</v>
      </c>
      <c r="K15" s="18">
        <f t="shared" si="13"/>
        <v>1</v>
      </c>
      <c r="L15" s="18">
        <f t="shared" si="13"/>
        <v>1.2</v>
      </c>
      <c r="M15" s="18">
        <f t="shared" si="13"/>
        <v>1.4</v>
      </c>
      <c r="N15" s="18">
        <f t="shared" si="13"/>
        <v>1.5999999999999999</v>
      </c>
      <c r="O15" s="18">
        <f t="shared" si="13"/>
        <v>1.7999999999999998</v>
      </c>
      <c r="P15" s="18">
        <f t="shared" si="13"/>
        <v>1.9999999999999998</v>
      </c>
      <c r="Q15" s="18">
        <f t="shared" si="13"/>
        <v>2.1999999999999997</v>
      </c>
      <c r="R15" s="18">
        <f t="shared" si="13"/>
        <v>2.4</v>
      </c>
      <c r="S15" s="18">
        <f t="shared" si="13"/>
        <v>2.6</v>
      </c>
      <c r="T15" s="18">
        <f t="shared" si="13"/>
        <v>2.8000000000000003</v>
      </c>
      <c r="U15" s="1"/>
      <c r="V15" s="7"/>
      <c r="W15" s="19"/>
      <c r="X15" s="4">
        <v>1</v>
      </c>
      <c r="Y15" s="4">
        <v>2</v>
      </c>
      <c r="Z15" s="4">
        <v>3</v>
      </c>
      <c r="AA15" s="4">
        <v>4</v>
      </c>
      <c r="AB15" s="4">
        <v>5</v>
      </c>
      <c r="AC15" s="4">
        <v>6</v>
      </c>
      <c r="AD15" s="4">
        <v>7</v>
      </c>
      <c r="AE15" s="4">
        <v>8</v>
      </c>
      <c r="AF15" s="4">
        <v>9</v>
      </c>
      <c r="AG15" s="4">
        <v>10</v>
      </c>
      <c r="AH15" s="4">
        <v>11</v>
      </c>
      <c r="AI15" s="4">
        <v>12</v>
      </c>
      <c r="AJ15" s="4">
        <v>13</v>
      </c>
      <c r="AK15" s="4">
        <v>14</v>
      </c>
    </row>
    <row r="16" spans="1:37" x14ac:dyDescent="0.3">
      <c r="A16" s="4" t="s">
        <v>2</v>
      </c>
      <c r="B16" s="4">
        <v>0</v>
      </c>
      <c r="D16" s="2"/>
      <c r="E16" s="3"/>
      <c r="F16" s="3"/>
      <c r="G16" s="3"/>
      <c r="H16" s="3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7"/>
      <c r="W16" s="4" t="s">
        <v>2</v>
      </c>
      <c r="X16" s="15">
        <f>F4</f>
        <v>10</v>
      </c>
      <c r="Y16" s="15">
        <f t="shared" ref="Y16:AK16" si="14">G4</f>
        <v>10</v>
      </c>
      <c r="Z16" s="15">
        <f t="shared" si="14"/>
        <v>10</v>
      </c>
      <c r="AA16" s="15">
        <f t="shared" si="14"/>
        <v>10</v>
      </c>
      <c r="AB16" s="15">
        <f t="shared" si="14"/>
        <v>10</v>
      </c>
      <c r="AC16" s="15">
        <f t="shared" si="14"/>
        <v>10</v>
      </c>
      <c r="AD16" s="15">
        <f t="shared" si="14"/>
        <v>10</v>
      </c>
      <c r="AE16" s="15">
        <f t="shared" si="14"/>
        <v>10</v>
      </c>
      <c r="AF16" s="15">
        <f t="shared" si="14"/>
        <v>10</v>
      </c>
      <c r="AG16" s="15">
        <f t="shared" si="14"/>
        <v>10</v>
      </c>
      <c r="AH16" s="15">
        <f t="shared" si="14"/>
        <v>10</v>
      </c>
      <c r="AI16" s="15">
        <f t="shared" si="14"/>
        <v>10</v>
      </c>
      <c r="AJ16" s="15">
        <f t="shared" si="14"/>
        <v>10</v>
      </c>
      <c r="AK16" s="15">
        <f t="shared" si="14"/>
        <v>10</v>
      </c>
    </row>
    <row r="17" spans="1:37" x14ac:dyDescent="0.3">
      <c r="A17" s="3"/>
      <c r="B17" s="3"/>
      <c r="D17" s="2"/>
      <c r="E17" s="9">
        <v>1.9999999999999998</v>
      </c>
      <c r="F17" s="20">
        <v>10</v>
      </c>
      <c r="G17" s="20">
        <v>10</v>
      </c>
      <c r="H17" s="20">
        <v>10</v>
      </c>
      <c r="I17" s="21">
        <v>10</v>
      </c>
      <c r="J17" s="21">
        <v>10</v>
      </c>
      <c r="K17" s="21">
        <v>10</v>
      </c>
      <c r="L17" s="21">
        <v>10</v>
      </c>
      <c r="M17" s="21">
        <v>10</v>
      </c>
      <c r="N17" s="21">
        <v>10</v>
      </c>
      <c r="O17" s="21">
        <v>10</v>
      </c>
      <c r="P17" s="21">
        <v>10</v>
      </c>
      <c r="Q17" s="21">
        <v>10</v>
      </c>
      <c r="R17" s="21">
        <v>10</v>
      </c>
      <c r="S17" s="21">
        <v>10</v>
      </c>
      <c r="T17" s="21">
        <v>10</v>
      </c>
      <c r="U17" s="1"/>
      <c r="V17" s="7"/>
      <c r="W17" s="4" t="s">
        <v>5</v>
      </c>
      <c r="X17" s="15">
        <v>0</v>
      </c>
      <c r="Y17" s="15">
        <f>X17+$B$2</f>
        <v>0.2</v>
      </c>
      <c r="Z17" s="15">
        <f t="shared" ref="Z17:AK17" si="15">Y17+$B$2</f>
        <v>0.4</v>
      </c>
      <c r="AA17" s="15">
        <f t="shared" si="15"/>
        <v>0.60000000000000009</v>
      </c>
      <c r="AB17" s="15">
        <f t="shared" si="15"/>
        <v>0.8</v>
      </c>
      <c r="AC17" s="15">
        <f t="shared" si="15"/>
        <v>1</v>
      </c>
      <c r="AD17" s="15">
        <f t="shared" si="15"/>
        <v>1.2</v>
      </c>
      <c r="AE17" s="15">
        <f t="shared" si="15"/>
        <v>1.4</v>
      </c>
      <c r="AF17" s="15">
        <f t="shared" si="15"/>
        <v>1.5999999999999999</v>
      </c>
      <c r="AG17" s="15">
        <f t="shared" si="15"/>
        <v>1.7999999999999998</v>
      </c>
      <c r="AH17" s="15">
        <f t="shared" si="15"/>
        <v>1.9999999999999998</v>
      </c>
      <c r="AI17" s="15">
        <f t="shared" si="15"/>
        <v>2.1999999999999997</v>
      </c>
      <c r="AJ17" s="15">
        <f t="shared" si="15"/>
        <v>2.4</v>
      </c>
      <c r="AK17" s="15">
        <f t="shared" si="15"/>
        <v>2.6</v>
      </c>
    </row>
    <row r="18" spans="1:37" x14ac:dyDescent="0.3">
      <c r="A18" s="3"/>
      <c r="B18" s="3"/>
      <c r="D18" s="2"/>
      <c r="E18" s="9">
        <v>1.7999999999999998</v>
      </c>
      <c r="F18" s="20">
        <v>8</v>
      </c>
      <c r="G18" s="22">
        <v>8.0283446536118888</v>
      </c>
      <c r="H18" s="22">
        <v>8.0648681706752168</v>
      </c>
      <c r="I18" s="15">
        <v>8.1180730284595946</v>
      </c>
      <c r="J18" s="15">
        <v>8.1952172103898686</v>
      </c>
      <c r="K18" s="15">
        <v>8.2968869943599852</v>
      </c>
      <c r="L18" s="15">
        <v>8.4102907540808491</v>
      </c>
      <c r="M18" s="15">
        <v>8.5221491515603596</v>
      </c>
      <c r="N18" s="15">
        <v>8.6241902045622503</v>
      </c>
      <c r="O18" s="15">
        <v>8.7130064632652093</v>
      </c>
      <c r="P18" s="15">
        <v>8.7884288893720228</v>
      </c>
      <c r="Q18" s="15">
        <v>8.852108557610638</v>
      </c>
      <c r="R18" s="15">
        <v>8.9066038242224224</v>
      </c>
      <c r="S18" s="15">
        <v>8.9548688221783621</v>
      </c>
      <c r="T18" s="21">
        <v>9</v>
      </c>
      <c r="U18" s="1"/>
      <c r="V18" s="7"/>
      <c r="W18" s="4" t="s">
        <v>6</v>
      </c>
      <c r="X18" s="15">
        <v>2</v>
      </c>
      <c r="Y18" s="15">
        <v>2</v>
      </c>
      <c r="Z18" s="15">
        <v>2</v>
      </c>
      <c r="AA18" s="15">
        <v>2</v>
      </c>
      <c r="AB18" s="15">
        <v>2</v>
      </c>
      <c r="AC18" s="15">
        <v>2</v>
      </c>
      <c r="AD18" s="15">
        <v>2</v>
      </c>
      <c r="AE18" s="15">
        <v>2</v>
      </c>
      <c r="AF18" s="15">
        <v>2</v>
      </c>
      <c r="AG18" s="15">
        <v>2</v>
      </c>
      <c r="AH18" s="15">
        <v>2</v>
      </c>
      <c r="AI18" s="15">
        <v>2</v>
      </c>
      <c r="AJ18" s="15">
        <v>2</v>
      </c>
      <c r="AK18" s="15">
        <v>2</v>
      </c>
    </row>
    <row r="19" spans="1:37" x14ac:dyDescent="0.3">
      <c r="A19" s="3"/>
      <c r="B19" s="3"/>
      <c r="D19" s="2"/>
      <c r="E19" s="9">
        <v>1.5999999999999999</v>
      </c>
      <c r="F19" s="20">
        <v>6</v>
      </c>
      <c r="G19" s="22">
        <v>6.0485104437723347</v>
      </c>
      <c r="H19" s="22">
        <v>6.113055000629382</v>
      </c>
      <c r="I19" s="15">
        <v>6.2122067327732928</v>
      </c>
      <c r="J19" s="15">
        <v>6.3659088187399</v>
      </c>
      <c r="K19" s="15">
        <v>6.5820400129692214</v>
      </c>
      <c r="L19" s="15">
        <v>6.8221268704030482</v>
      </c>
      <c r="M19" s="15">
        <v>7.054115647598346</v>
      </c>
      <c r="N19" s="15">
        <v>7.2616052034234295</v>
      </c>
      <c r="O19" s="15">
        <v>7.4394067591265713</v>
      </c>
      <c r="P19" s="15">
        <v>7.5886005366122475</v>
      </c>
      <c r="Q19" s="15">
        <v>7.7134015168481138</v>
      </c>
      <c r="R19" s="15">
        <v>7.8194379171006885</v>
      </c>
      <c r="S19" s="15">
        <v>7.9128714644910305</v>
      </c>
      <c r="T19" s="21">
        <v>8</v>
      </c>
      <c r="U19" s="1"/>
      <c r="V19" s="7"/>
      <c r="W19" s="4" t="s">
        <v>7</v>
      </c>
      <c r="X19" s="15">
        <f>F30</f>
        <v>10</v>
      </c>
      <c r="Y19" s="15">
        <f t="shared" ref="Y19:AK19" si="16">G30</f>
        <v>9.8582767319405562</v>
      </c>
      <c r="Z19" s="15">
        <f t="shared" si="16"/>
        <v>9.6756591466239161</v>
      </c>
      <c r="AA19" s="15">
        <f t="shared" si="16"/>
        <v>9.4096348577020272</v>
      </c>
      <c r="AB19" s="15">
        <f t="shared" si="16"/>
        <v>9.0239139480506481</v>
      </c>
      <c r="AC19" s="15">
        <f t="shared" si="16"/>
        <v>8.5155650282000739</v>
      </c>
      <c r="AD19" s="15">
        <f t="shared" si="16"/>
        <v>7.9485462295957543</v>
      </c>
      <c r="AE19" s="15">
        <f t="shared" si="16"/>
        <v>7.3892542421981933</v>
      </c>
      <c r="AF19" s="15">
        <f t="shared" si="16"/>
        <v>6.8790489771887486</v>
      </c>
      <c r="AG19" s="15">
        <f t="shared" si="16"/>
        <v>6.4349676836739444</v>
      </c>
      <c r="AH19" s="15">
        <f t="shared" si="16"/>
        <v>6.057855553139877</v>
      </c>
      <c r="AI19" s="15">
        <f t="shared" si="16"/>
        <v>5.7394572119468013</v>
      </c>
      <c r="AJ19" s="15">
        <f t="shared" si="16"/>
        <v>5.4669808788878882</v>
      </c>
      <c r="AK19" s="15">
        <f t="shared" si="16"/>
        <v>5.2256558891081806</v>
      </c>
    </row>
    <row r="20" spans="1:37" x14ac:dyDescent="0.3">
      <c r="A20" s="3"/>
      <c r="B20" s="3"/>
      <c r="D20" s="2"/>
      <c r="E20" s="9">
        <v>1.4</v>
      </c>
      <c r="F20" s="20">
        <v>4</v>
      </c>
      <c r="G20" s="22">
        <v>4.0526421208480707</v>
      </c>
      <c r="H20" s="22">
        <v>4.1266346552966837</v>
      </c>
      <c r="I20" s="15">
        <v>4.2517900832642974</v>
      </c>
      <c r="J20" s="15">
        <v>4.4741713188272154</v>
      </c>
      <c r="K20" s="15">
        <v>4.8432373683739582</v>
      </c>
      <c r="L20" s="15">
        <v>5.2420610669637782</v>
      </c>
      <c r="M20" s="15">
        <v>5.6105813650065457</v>
      </c>
      <c r="N20" s="15">
        <v>5.9287082024065505</v>
      </c>
      <c r="O20" s="15">
        <v>6.1944148332054025</v>
      </c>
      <c r="P20" s="15">
        <v>6.4131649811022822</v>
      </c>
      <c r="Q20" s="15">
        <v>6.5934590560688795</v>
      </c>
      <c r="R20" s="15">
        <v>6.744874862841189</v>
      </c>
      <c r="S20" s="15">
        <v>6.8771791186850706</v>
      </c>
      <c r="T20" s="21">
        <v>7</v>
      </c>
      <c r="U20" s="1"/>
      <c r="V20" s="7"/>
      <c r="W20" s="4" t="s">
        <v>8</v>
      </c>
      <c r="X20" s="15">
        <f>F43</f>
        <v>0</v>
      </c>
      <c r="Y20" s="15">
        <f t="shared" ref="Y20:AK20" si="17">G43</f>
        <v>0</v>
      </c>
      <c r="Z20" s="15">
        <f t="shared" si="17"/>
        <v>0</v>
      </c>
      <c r="AA20" s="15">
        <f t="shared" si="17"/>
        <v>0</v>
      </c>
      <c r="AB20" s="15">
        <f t="shared" si="17"/>
        <v>0</v>
      </c>
      <c r="AC20" s="15">
        <f t="shared" si="17"/>
        <v>0</v>
      </c>
      <c r="AD20" s="15">
        <f t="shared" si="17"/>
        <v>0</v>
      </c>
      <c r="AE20" s="15">
        <f t="shared" si="17"/>
        <v>0</v>
      </c>
      <c r="AF20" s="15">
        <f t="shared" si="17"/>
        <v>0</v>
      </c>
      <c r="AG20" s="15">
        <f t="shared" si="17"/>
        <v>0</v>
      </c>
      <c r="AH20" s="15">
        <f t="shared" si="17"/>
        <v>0</v>
      </c>
      <c r="AI20" s="15">
        <f t="shared" si="17"/>
        <v>0</v>
      </c>
      <c r="AJ20" s="15">
        <f t="shared" si="17"/>
        <v>0</v>
      </c>
      <c r="AK20" s="15">
        <f t="shared" si="17"/>
        <v>0</v>
      </c>
    </row>
    <row r="21" spans="1:37" x14ac:dyDescent="0.3">
      <c r="A21" s="3"/>
      <c r="B21" s="3"/>
      <c r="D21" s="2"/>
      <c r="E21" s="9">
        <v>1.2</v>
      </c>
      <c r="F21" s="20">
        <v>2</v>
      </c>
      <c r="G21" s="22">
        <v>2.0354233843232645</v>
      </c>
      <c r="H21" s="22">
        <v>2.0890514164449865</v>
      </c>
      <c r="I21" s="15">
        <v>2.1941476261599977</v>
      </c>
      <c r="J21" s="15">
        <v>2.4357490049307073</v>
      </c>
      <c r="K21" s="15">
        <v>3.0746770747356167</v>
      </c>
      <c r="L21" s="15">
        <v>3.6922986640715627</v>
      </c>
      <c r="M21" s="15">
        <v>4.2174405430575108</v>
      </c>
      <c r="N21" s="15">
        <v>4.6482314079908287</v>
      </c>
      <c r="O21" s="15">
        <v>4.9963793901862079</v>
      </c>
      <c r="P21" s="15">
        <v>5.2761854985226027</v>
      </c>
      <c r="Q21" s="15">
        <v>5.5023948634839366</v>
      </c>
      <c r="R21" s="15">
        <v>5.6894233595101191</v>
      </c>
      <c r="S21" s="15">
        <v>5.8509701474080629</v>
      </c>
      <c r="T21" s="21">
        <v>6</v>
      </c>
      <c r="U21" s="1"/>
      <c r="V21" s="7"/>
      <c r="W21" s="4" t="s">
        <v>10</v>
      </c>
      <c r="X21" s="15">
        <f>(X19^2+X20^2)^0.5</f>
        <v>10</v>
      </c>
      <c r="Y21" s="15">
        <f t="shared" ref="Y21:AK21" si="18">(Y19^2+Y20^2)^0.5</f>
        <v>9.8582767319405562</v>
      </c>
      <c r="Z21" s="15">
        <f t="shared" si="18"/>
        <v>9.6756591466239161</v>
      </c>
      <c r="AA21" s="15">
        <f t="shared" si="18"/>
        <v>9.4096348577020272</v>
      </c>
      <c r="AB21" s="15">
        <f t="shared" si="18"/>
        <v>9.0239139480506481</v>
      </c>
      <c r="AC21" s="15">
        <f t="shared" si="18"/>
        <v>8.5155650282000739</v>
      </c>
      <c r="AD21" s="15">
        <f t="shared" si="18"/>
        <v>7.9485462295957543</v>
      </c>
      <c r="AE21" s="15">
        <f t="shared" si="18"/>
        <v>7.3892542421981933</v>
      </c>
      <c r="AF21" s="15">
        <f t="shared" si="18"/>
        <v>6.8790489771887486</v>
      </c>
      <c r="AG21" s="15">
        <f t="shared" si="18"/>
        <v>6.4349676836739444</v>
      </c>
      <c r="AH21" s="15">
        <f t="shared" si="18"/>
        <v>6.057855553139877</v>
      </c>
      <c r="AI21" s="15">
        <f t="shared" si="18"/>
        <v>5.7394572119468013</v>
      </c>
      <c r="AJ21" s="15">
        <f t="shared" si="18"/>
        <v>5.4669808788878882</v>
      </c>
      <c r="AK21" s="15">
        <f t="shared" si="18"/>
        <v>5.2256558891081806</v>
      </c>
    </row>
    <row r="22" spans="1:37" x14ac:dyDescent="0.3">
      <c r="A22" s="3"/>
      <c r="B22" s="3"/>
      <c r="D22" s="2"/>
      <c r="E22" s="9">
        <v>1</v>
      </c>
      <c r="F22" s="20">
        <v>0</v>
      </c>
      <c r="G22" s="20">
        <v>0</v>
      </c>
      <c r="H22" s="20">
        <v>0</v>
      </c>
      <c r="I22" s="21">
        <v>0</v>
      </c>
      <c r="J22" s="21">
        <v>0</v>
      </c>
      <c r="K22" s="15">
        <v>1.3274232615662405</v>
      </c>
      <c r="L22" s="15">
        <v>2.2350159715293452</v>
      </c>
      <c r="M22" s="15">
        <v>2.9186507351611106</v>
      </c>
      <c r="N22" s="15">
        <v>3.450397496313049</v>
      </c>
      <c r="O22" s="15">
        <v>3.8666858210259987</v>
      </c>
      <c r="P22" s="15">
        <v>4.1928027593179875</v>
      </c>
      <c r="Q22" s="15">
        <v>4.4505115398341459</v>
      </c>
      <c r="R22" s="15">
        <v>4.6594535643072899</v>
      </c>
      <c r="S22" s="15">
        <v>4.8372781114370635</v>
      </c>
      <c r="T22" s="21">
        <v>5</v>
      </c>
      <c r="U22" s="1"/>
      <c r="V22" s="7"/>
      <c r="W22" s="4" t="s">
        <v>11</v>
      </c>
      <c r="X22" s="15">
        <f>B5</f>
        <v>101325</v>
      </c>
      <c r="Y22" s="15">
        <f>(X22+(X21^2)/2)-(Y21^2)/2</f>
        <v>101326.40718993824</v>
      </c>
      <c r="Z22" s="15">
        <f t="shared" ref="Z22:AK22" si="19">(Y22+(Y21^2)/2)-(Z21^2)/2</f>
        <v>101328.19081003917</v>
      </c>
      <c r="AA22" s="15">
        <f t="shared" si="19"/>
        <v>101330.72938592236</v>
      </c>
      <c r="AB22" s="15">
        <f t="shared" si="19"/>
        <v>101334.28448852908</v>
      </c>
      <c r="AC22" s="15">
        <f t="shared" si="19"/>
        <v>101338.74257612525</v>
      </c>
      <c r="AD22" s="15">
        <f t="shared" si="19"/>
        <v>101343.41030641799</v>
      </c>
      <c r="AE22" s="15">
        <f t="shared" si="19"/>
        <v>101347.69946087209</v>
      </c>
      <c r="AF22" s="15">
        <f t="shared" si="19"/>
        <v>101351.33934258472</v>
      </c>
      <c r="AG22" s="15">
        <f t="shared" si="19"/>
        <v>101354.29559545504</v>
      </c>
      <c r="AH22" s="15">
        <f t="shared" si="19"/>
        <v>101356.65119304864</v>
      </c>
      <c r="AI22" s="15">
        <f t="shared" si="19"/>
        <v>101358.52931545612</v>
      </c>
      <c r="AJ22" s="15">
        <f t="shared" si="19"/>
        <v>101360.05606003494</v>
      </c>
      <c r="AK22" s="15">
        <f t="shared" si="19"/>
        <v>101361.34626026431</v>
      </c>
    </row>
    <row r="23" spans="1:37" x14ac:dyDescent="0.3">
      <c r="A23" s="3"/>
      <c r="B23" s="3"/>
      <c r="D23" s="2"/>
      <c r="E23" s="9">
        <v>0.8</v>
      </c>
      <c r="F23" s="16"/>
      <c r="G23" s="16"/>
      <c r="H23" s="16"/>
      <c r="I23" s="17"/>
      <c r="J23" s="17"/>
      <c r="K23" s="21">
        <v>0</v>
      </c>
      <c r="L23" s="15">
        <v>1.0016912253184707</v>
      </c>
      <c r="M23" s="15">
        <v>1.7717489297445372</v>
      </c>
      <c r="N23" s="15">
        <v>2.3680220210742604</v>
      </c>
      <c r="O23" s="15">
        <v>2.8271636382867533</v>
      </c>
      <c r="P23" s="15">
        <v>3.177828177889205</v>
      </c>
      <c r="Q23" s="15">
        <v>3.4473949722273729</v>
      </c>
      <c r="R23" s="15">
        <v>3.6606012464478308</v>
      </c>
      <c r="S23" s="15">
        <v>3.8386887340329023</v>
      </c>
      <c r="T23" s="21">
        <v>4</v>
      </c>
      <c r="U23" s="1"/>
      <c r="V23" s="7"/>
      <c r="W23" s="4" t="s">
        <v>13</v>
      </c>
      <c r="X23" s="15">
        <f>(X22-$B$5)/(($X$10^2)/2)</f>
        <v>0</v>
      </c>
      <c r="Y23" s="15">
        <f t="shared" ref="Y23:AK23" si="20">(Y22-$B$5)/(($X$10^2)/2)</f>
        <v>2.8143798764795065E-2</v>
      </c>
      <c r="Z23" s="15">
        <f t="shared" si="20"/>
        <v>6.3816200783476232E-2</v>
      </c>
      <c r="AA23" s="15">
        <f t="shared" si="20"/>
        <v>0.11458771844714648</v>
      </c>
      <c r="AB23" s="15">
        <f t="shared" si="20"/>
        <v>0.18568977058166639</v>
      </c>
      <c r="AC23" s="15">
        <f t="shared" si="20"/>
        <v>0.27485152250505052</v>
      </c>
      <c r="AD23" s="15">
        <f t="shared" si="20"/>
        <v>0.3682061283598887</v>
      </c>
      <c r="AE23" s="15">
        <f t="shared" si="20"/>
        <v>0.45398921744170367</v>
      </c>
      <c r="AF23" s="15">
        <f t="shared" si="20"/>
        <v>0.5267868516943417</v>
      </c>
      <c r="AG23" s="15">
        <f t="shared" si="20"/>
        <v>0.58591190910083246</v>
      </c>
      <c r="AH23" s="15">
        <f t="shared" si="20"/>
        <v>0.63302386097289853</v>
      </c>
      <c r="AI23" s="15">
        <f t="shared" si="20"/>
        <v>0.67058630912244555</v>
      </c>
      <c r="AJ23" s="15">
        <f t="shared" si="20"/>
        <v>0.70112120069883532</v>
      </c>
      <c r="AK23" s="15">
        <f t="shared" si="20"/>
        <v>0.72692520528624305</v>
      </c>
    </row>
    <row r="24" spans="1:37" x14ac:dyDescent="0.3">
      <c r="A24" s="3"/>
      <c r="B24" s="3"/>
      <c r="D24" s="2"/>
      <c r="E24" s="9">
        <v>0.60000000000000009</v>
      </c>
      <c r="F24" s="16"/>
      <c r="G24" s="16"/>
      <c r="H24" s="16"/>
      <c r="I24" s="17"/>
      <c r="J24" s="17"/>
      <c r="K24" s="17"/>
      <c r="L24" s="21">
        <v>0</v>
      </c>
      <c r="M24" s="15">
        <v>0.79863173742431004</v>
      </c>
      <c r="N24" s="15">
        <v>1.4227780199527031</v>
      </c>
      <c r="O24" s="15">
        <v>1.8961185331575547</v>
      </c>
      <c r="P24" s="15">
        <v>2.2439513417247068</v>
      </c>
      <c r="Q24" s="15">
        <v>2.5006389247383143</v>
      </c>
      <c r="R24" s="15">
        <v>2.6968677152237612</v>
      </c>
      <c r="S24" s="15">
        <v>2.8568755782467155</v>
      </c>
      <c r="T24" s="21">
        <v>3</v>
      </c>
      <c r="U24" s="1"/>
      <c r="V24" s="7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3">
      <c r="A25" s="3"/>
      <c r="B25" s="3"/>
      <c r="D25" s="2"/>
      <c r="E25" s="9">
        <v>0.4</v>
      </c>
      <c r="F25" s="16"/>
      <c r="G25" s="16"/>
      <c r="H25" s="16"/>
      <c r="I25" s="17"/>
      <c r="J25" s="17"/>
      <c r="K25" s="17"/>
      <c r="L25" s="17"/>
      <c r="M25" s="21">
        <v>0</v>
      </c>
      <c r="N25" s="15">
        <v>0.62833978815468972</v>
      </c>
      <c r="O25" s="15">
        <v>1.0905811326660562</v>
      </c>
      <c r="P25" s="15">
        <v>1.4012197311137564</v>
      </c>
      <c r="Q25" s="15">
        <v>1.614341669777416</v>
      </c>
      <c r="R25" s="15">
        <v>1.7693551114621868</v>
      </c>
      <c r="S25" s="15">
        <v>1.8919458637301987</v>
      </c>
      <c r="T25" s="21">
        <v>2</v>
      </c>
      <c r="U25" s="1"/>
      <c r="V25" s="7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3">
      <c r="A26" s="3"/>
      <c r="B26" s="3"/>
      <c r="D26" s="2"/>
      <c r="E26" s="9">
        <v>0.2</v>
      </c>
      <c r="F26" s="16"/>
      <c r="G26" s="16"/>
      <c r="H26" s="16"/>
      <c r="I26" s="17"/>
      <c r="J26" s="17"/>
      <c r="K26" s="17"/>
      <c r="L26" s="17"/>
      <c r="M26" s="17"/>
      <c r="N26" s="21">
        <v>0</v>
      </c>
      <c r="O26" s="15">
        <v>0.43664647823822589</v>
      </c>
      <c r="P26" s="15">
        <v>0.6560047802868475</v>
      </c>
      <c r="Q26" s="15">
        <v>0.78615291179540869</v>
      </c>
      <c r="R26" s="15">
        <v>0.87426519711737183</v>
      </c>
      <c r="S26" s="15">
        <v>0.94155276521189246</v>
      </c>
      <c r="T26" s="21">
        <v>1</v>
      </c>
      <c r="U26" s="1"/>
      <c r="V26" s="7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x14ac:dyDescent="0.3">
      <c r="A27" s="3"/>
      <c r="B27" s="3"/>
      <c r="D27" s="2"/>
      <c r="E27" s="9">
        <v>0</v>
      </c>
      <c r="F27" s="16"/>
      <c r="G27" s="16"/>
      <c r="H27" s="16"/>
      <c r="I27" s="17"/>
      <c r="J27" s="17"/>
      <c r="K27" s="17"/>
      <c r="L27" s="17"/>
      <c r="M27" s="17"/>
      <c r="N27" s="17"/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1">
        <v>0</v>
      </c>
      <c r="U27" s="1"/>
      <c r="V27" s="7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x14ac:dyDescent="0.3">
      <c r="A28" s="3"/>
      <c r="B28" s="3"/>
      <c r="D28" s="2"/>
      <c r="E28" s="16"/>
      <c r="F28" s="9">
        <v>0</v>
      </c>
      <c r="G28" s="9">
        <v>0.2</v>
      </c>
      <c r="H28" s="9">
        <v>0.4</v>
      </c>
      <c r="I28" s="18">
        <v>0.60000000000000009</v>
      </c>
      <c r="J28" s="18">
        <v>0.8</v>
      </c>
      <c r="K28" s="18">
        <v>1</v>
      </c>
      <c r="L28" s="18">
        <v>1.2</v>
      </c>
      <c r="M28" s="18">
        <v>1.4</v>
      </c>
      <c r="N28" s="18">
        <v>1.5999999999999999</v>
      </c>
      <c r="O28" s="18">
        <v>1.7999999999999998</v>
      </c>
      <c r="P28" s="18">
        <v>1.9999999999999998</v>
      </c>
      <c r="Q28" s="18">
        <v>2.1999999999999997</v>
      </c>
      <c r="R28" s="18">
        <v>2.4</v>
      </c>
      <c r="S28" s="18">
        <v>2.6</v>
      </c>
      <c r="T28" s="18">
        <v>2.8000000000000003</v>
      </c>
      <c r="U28" s="1"/>
      <c r="V28" s="7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x14ac:dyDescent="0.3">
      <c r="A29" s="3"/>
      <c r="B29" s="3"/>
      <c r="D29" s="2"/>
      <c r="E29" s="3"/>
      <c r="F29" s="3"/>
      <c r="G29" s="3"/>
      <c r="H29" s="3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7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3">
      <c r="A30" s="3"/>
      <c r="B30" s="3"/>
      <c r="D30" s="2" t="s">
        <v>7</v>
      </c>
      <c r="E30" s="9">
        <v>1.9999999999999998</v>
      </c>
      <c r="F30" s="20">
        <f>(F4-F5)/$B$2</f>
        <v>10</v>
      </c>
      <c r="G30" s="20">
        <f t="shared" ref="G30:T30" si="21">(G4-G5)/$B$2</f>
        <v>9.8582767319405562</v>
      </c>
      <c r="H30" s="20">
        <f t="shared" si="21"/>
        <v>9.6756591466239161</v>
      </c>
      <c r="I30" s="21">
        <f t="shared" si="21"/>
        <v>9.4096348577020272</v>
      </c>
      <c r="J30" s="21">
        <f t="shared" si="21"/>
        <v>9.0239139480506481</v>
      </c>
      <c r="K30" s="21">
        <f t="shared" si="21"/>
        <v>8.5155650282000739</v>
      </c>
      <c r="L30" s="21">
        <f t="shared" si="21"/>
        <v>7.9485462295957543</v>
      </c>
      <c r="M30" s="21">
        <f t="shared" si="21"/>
        <v>7.3892542421981933</v>
      </c>
      <c r="N30" s="21">
        <f t="shared" si="21"/>
        <v>6.8790489771887486</v>
      </c>
      <c r="O30" s="21">
        <f t="shared" si="21"/>
        <v>6.4349676836739444</v>
      </c>
      <c r="P30" s="21">
        <f t="shared" si="21"/>
        <v>6.057855553139877</v>
      </c>
      <c r="Q30" s="21">
        <f t="shared" si="21"/>
        <v>5.7394572119468013</v>
      </c>
      <c r="R30" s="21">
        <f t="shared" si="21"/>
        <v>5.4669808788878882</v>
      </c>
      <c r="S30" s="21">
        <f t="shared" si="21"/>
        <v>5.2256558891081806</v>
      </c>
      <c r="T30" s="21">
        <f t="shared" si="21"/>
        <v>5</v>
      </c>
      <c r="U30" s="1"/>
      <c r="V30" s="7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x14ac:dyDescent="0.3">
      <c r="A31" s="3"/>
      <c r="B31" s="3"/>
      <c r="D31" s="2"/>
      <c r="E31" s="9">
        <v>1.7999999999999998</v>
      </c>
      <c r="F31" s="22">
        <f>(F4-F6)/(2*$B$2)</f>
        <v>10</v>
      </c>
      <c r="G31" s="22">
        <f t="shared" ref="G31:T31" si="22">(G4-G6)/(2*$B$2)</f>
        <v>9.8787238905691623</v>
      </c>
      <c r="H31" s="22">
        <f t="shared" si="22"/>
        <v>9.7173624984265441</v>
      </c>
      <c r="I31" s="15">
        <f t="shared" si="22"/>
        <v>9.4694831680667679</v>
      </c>
      <c r="J31" s="15">
        <f t="shared" si="22"/>
        <v>9.08522795315025</v>
      </c>
      <c r="K31" s="15">
        <f t="shared" si="22"/>
        <v>8.5448999675769421</v>
      </c>
      <c r="L31" s="15">
        <f t="shared" si="22"/>
        <v>7.9446828239923795</v>
      </c>
      <c r="M31" s="15">
        <f t="shared" si="22"/>
        <v>7.3647108810041351</v>
      </c>
      <c r="N31" s="15">
        <f t="shared" si="22"/>
        <v>6.8459869914414258</v>
      </c>
      <c r="O31" s="15">
        <f t="shared" si="22"/>
        <v>6.401483102183569</v>
      </c>
      <c r="P31" s="15">
        <f t="shared" si="22"/>
        <v>6.0284986584693812</v>
      </c>
      <c r="Q31" s="15">
        <f t="shared" si="22"/>
        <v>5.7164962078797155</v>
      </c>
      <c r="R31" s="15">
        <f t="shared" si="22"/>
        <v>5.4514052072482766</v>
      </c>
      <c r="S31" s="15">
        <f t="shared" si="22"/>
        <v>5.2178213387724233</v>
      </c>
      <c r="T31" s="15">
        <f t="shared" si="22"/>
        <v>5</v>
      </c>
      <c r="U31" s="1"/>
      <c r="V31" s="7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3">
      <c r="A32" s="3"/>
      <c r="B32" s="3"/>
      <c r="D32" s="2"/>
      <c r="E32" s="9">
        <v>1.5999999999999999</v>
      </c>
      <c r="F32" s="22">
        <f t="shared" ref="F32:T39" si="23">(F5-F7)/(2*$B$2)</f>
        <v>10</v>
      </c>
      <c r="G32" s="22">
        <f t="shared" si="23"/>
        <v>9.9392563319095437</v>
      </c>
      <c r="H32" s="22">
        <f t="shared" si="23"/>
        <v>9.8455837884463318</v>
      </c>
      <c r="I32" s="15">
        <f t="shared" si="23"/>
        <v>9.6657073629882415</v>
      </c>
      <c r="J32" s="15">
        <f t="shared" si="23"/>
        <v>9.3026147289066365</v>
      </c>
      <c r="K32" s="15">
        <f t="shared" si="23"/>
        <v>8.6341240649650661</v>
      </c>
      <c r="L32" s="15">
        <f t="shared" si="23"/>
        <v>7.9205742177926775</v>
      </c>
      <c r="M32" s="15">
        <f t="shared" si="23"/>
        <v>7.2789194663845365</v>
      </c>
      <c r="N32" s="15">
        <f t="shared" si="23"/>
        <v>6.7387050053892468</v>
      </c>
      <c r="O32" s="15">
        <f t="shared" si="23"/>
        <v>6.2964790751495192</v>
      </c>
      <c r="P32" s="15">
        <f t="shared" si="23"/>
        <v>5.9381597706743516</v>
      </c>
      <c r="Q32" s="15">
        <f t="shared" si="23"/>
        <v>5.6466237538543984</v>
      </c>
      <c r="R32" s="15">
        <f t="shared" si="23"/>
        <v>5.404322403453083</v>
      </c>
      <c r="S32" s="15">
        <f t="shared" si="23"/>
        <v>5.1942242587332332</v>
      </c>
      <c r="T32" s="15">
        <f t="shared" si="23"/>
        <v>5</v>
      </c>
      <c r="U32" s="1"/>
      <c r="V32" s="7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3">
      <c r="A33" s="3"/>
      <c r="B33" s="3"/>
      <c r="D33" s="2"/>
      <c r="E33" s="9">
        <v>1.4</v>
      </c>
      <c r="F33" s="22">
        <f t="shared" si="23"/>
        <v>10</v>
      </c>
      <c r="G33" s="22">
        <f t="shared" si="23"/>
        <v>10.032717648622675</v>
      </c>
      <c r="H33" s="22">
        <f t="shared" si="23"/>
        <v>10.060008960460989</v>
      </c>
      <c r="I33" s="15">
        <f t="shared" si="23"/>
        <v>10.045147766533237</v>
      </c>
      <c r="J33" s="15">
        <f t="shared" si="23"/>
        <v>9.8253995345229814</v>
      </c>
      <c r="K33" s="15">
        <f t="shared" si="23"/>
        <v>8.7684073455840146</v>
      </c>
      <c r="L33" s="15">
        <f t="shared" si="23"/>
        <v>7.8245705158287135</v>
      </c>
      <c r="M33" s="15">
        <f t="shared" si="23"/>
        <v>7.091687761352083</v>
      </c>
      <c r="N33" s="15">
        <f t="shared" si="23"/>
        <v>6.5334344885814994</v>
      </c>
      <c r="O33" s="15">
        <f t="shared" si="23"/>
        <v>6.1075684223509086</v>
      </c>
      <c r="P33" s="15">
        <f t="shared" si="23"/>
        <v>5.7810375952241095</v>
      </c>
      <c r="Q33" s="15">
        <f t="shared" si="23"/>
        <v>5.5275166334104426</v>
      </c>
      <c r="R33" s="15">
        <f t="shared" si="23"/>
        <v>5.3250363939764256</v>
      </c>
      <c r="S33" s="15">
        <f t="shared" si="23"/>
        <v>5.1547532927074187</v>
      </c>
      <c r="T33" s="15">
        <f t="shared" si="23"/>
        <v>5</v>
      </c>
      <c r="U33" s="1"/>
      <c r="V33" s="7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3">
      <c r="A34" s="3"/>
      <c r="B34" s="3"/>
      <c r="D34" s="2"/>
      <c r="E34" s="9">
        <v>1.2</v>
      </c>
      <c r="F34" s="22">
        <f t="shared" si="23"/>
        <v>10</v>
      </c>
      <c r="G34" s="22">
        <f t="shared" si="23"/>
        <v>10.131605302120176</v>
      </c>
      <c r="H34" s="22">
        <f t="shared" si="23"/>
        <v>10.316586638241709</v>
      </c>
      <c r="I34" s="15">
        <f t="shared" si="23"/>
        <v>10.629475208160743</v>
      </c>
      <c r="J34" s="15">
        <f t="shared" si="23"/>
        <v>11.185428297068038</v>
      </c>
      <c r="K34" s="15">
        <f t="shared" si="23"/>
        <v>8.7895352670192946</v>
      </c>
      <c r="L34" s="15">
        <f t="shared" si="23"/>
        <v>7.51761273858608</v>
      </c>
      <c r="M34" s="15">
        <f t="shared" si="23"/>
        <v>6.7298265746135897</v>
      </c>
      <c r="N34" s="15">
        <f t="shared" si="23"/>
        <v>6.1957767652337532</v>
      </c>
      <c r="O34" s="15">
        <f t="shared" si="23"/>
        <v>5.8193225304485079</v>
      </c>
      <c r="P34" s="15">
        <f t="shared" si="23"/>
        <v>5.5509055544607406</v>
      </c>
      <c r="Q34" s="15">
        <f t="shared" si="23"/>
        <v>5.3573687905868335</v>
      </c>
      <c r="R34" s="15">
        <f t="shared" si="23"/>
        <v>5.2135532463347474</v>
      </c>
      <c r="S34" s="15">
        <f t="shared" si="23"/>
        <v>5.0997525181200176</v>
      </c>
      <c r="T34" s="15">
        <f t="shared" si="23"/>
        <v>5</v>
      </c>
      <c r="U34" s="1"/>
      <c r="V34" s="7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3">
      <c r="A35" s="3"/>
      <c r="B35" s="3"/>
      <c r="D35" s="2"/>
      <c r="E35" s="9">
        <v>1</v>
      </c>
      <c r="F35" s="20">
        <f>(F8-F9)/$B$2</f>
        <v>10</v>
      </c>
      <c r="G35" s="20">
        <f t="shared" ref="G35:N39" si="24">(G8-G9)/$B$2</f>
        <v>10.177116921616323</v>
      </c>
      <c r="H35" s="20">
        <f t="shared" si="24"/>
        <v>10.445257082224932</v>
      </c>
      <c r="I35" s="21">
        <f t="shared" si="24"/>
        <v>10.970738130799988</v>
      </c>
      <c r="J35" s="21">
        <f t="shared" si="24"/>
        <v>12.178745024653535</v>
      </c>
      <c r="K35" s="15">
        <f t="shared" si="23"/>
        <v>7.6866926868390424</v>
      </c>
      <c r="L35" s="15">
        <f t="shared" si="23"/>
        <v>6.7265185968827295</v>
      </c>
      <c r="M35" s="15">
        <f t="shared" si="23"/>
        <v>6.1142290332824363</v>
      </c>
      <c r="N35" s="15">
        <f t="shared" si="23"/>
        <v>5.7005234672914211</v>
      </c>
      <c r="O35" s="15">
        <f t="shared" si="23"/>
        <v>5.4230393797486354</v>
      </c>
      <c r="P35" s="15">
        <f t="shared" si="23"/>
        <v>5.2458933015834956</v>
      </c>
      <c r="Q35" s="15">
        <f t="shared" si="23"/>
        <v>5.1374997281414059</v>
      </c>
      <c r="R35" s="15">
        <f t="shared" si="23"/>
        <v>5.0720552826557181</v>
      </c>
      <c r="S35" s="15">
        <f t="shared" si="23"/>
        <v>5.0307035334379009</v>
      </c>
      <c r="T35" s="15">
        <f t="shared" si="23"/>
        <v>5</v>
      </c>
      <c r="U35" s="1"/>
      <c r="V35" s="7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3">
      <c r="A36" s="3"/>
      <c r="B36" s="3"/>
      <c r="D36" s="2"/>
      <c r="E36" s="9">
        <v>0.8</v>
      </c>
      <c r="F36" s="16"/>
      <c r="G36" s="16"/>
      <c r="H36" s="16"/>
      <c r="I36" s="17"/>
      <c r="J36" s="17"/>
      <c r="K36" s="21">
        <f t="shared" si="24"/>
        <v>6.6371163078312021</v>
      </c>
      <c r="L36" s="15">
        <f t="shared" si="23"/>
        <v>5.5875399288233645</v>
      </c>
      <c r="M36" s="15">
        <f t="shared" si="23"/>
        <v>5.3000474943420013</v>
      </c>
      <c r="N36" s="15">
        <f t="shared" si="23"/>
        <v>5.0690486909008659</v>
      </c>
      <c r="O36" s="15">
        <f t="shared" si="23"/>
        <v>4.9264182196711124</v>
      </c>
      <c r="P36" s="15">
        <f t="shared" si="23"/>
        <v>4.8721285439832007</v>
      </c>
      <c r="Q36" s="15">
        <f t="shared" si="23"/>
        <v>4.8746815377395807</v>
      </c>
      <c r="R36" s="15">
        <f t="shared" si="23"/>
        <v>4.9064646227088202</v>
      </c>
      <c r="S36" s="15">
        <f t="shared" si="23"/>
        <v>4.9510063329758696</v>
      </c>
      <c r="T36" s="15">
        <f t="shared" si="23"/>
        <v>5</v>
      </c>
      <c r="U36" s="1"/>
      <c r="V36" s="7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3">
      <c r="A37" s="3"/>
      <c r="B37" s="3"/>
      <c r="D37" s="2"/>
      <c r="E37" s="9">
        <v>0.60000000000000009</v>
      </c>
      <c r="F37" s="16"/>
      <c r="G37" s="16"/>
      <c r="H37" s="16"/>
      <c r="I37" s="17"/>
      <c r="J37" s="17"/>
      <c r="K37" s="17"/>
      <c r="L37" s="21">
        <f t="shared" si="24"/>
        <v>5.0084561265923533</v>
      </c>
      <c r="M37" s="15">
        <f t="shared" si="23"/>
        <v>4.4293723243613448</v>
      </c>
      <c r="N37" s="15">
        <f t="shared" si="23"/>
        <v>4.3492055822989268</v>
      </c>
      <c r="O37" s="15">
        <f t="shared" si="23"/>
        <v>4.3414562640517449</v>
      </c>
      <c r="P37" s="15">
        <f t="shared" si="23"/>
        <v>4.4415211169386204</v>
      </c>
      <c r="Q37" s="15">
        <f t="shared" si="23"/>
        <v>4.5826332561248941</v>
      </c>
      <c r="R37" s="15">
        <f t="shared" si="23"/>
        <v>4.7281153374641116</v>
      </c>
      <c r="S37" s="15">
        <f t="shared" si="23"/>
        <v>4.8668571757567589</v>
      </c>
      <c r="T37" s="15">
        <f t="shared" si="23"/>
        <v>5</v>
      </c>
      <c r="U37" s="1"/>
      <c r="V37" s="7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3">
      <c r="A38" s="3"/>
      <c r="B38" s="3"/>
      <c r="D38" s="2"/>
      <c r="E38" s="9">
        <v>0.4</v>
      </c>
      <c r="F38" s="16"/>
      <c r="G38" s="16"/>
      <c r="H38" s="16"/>
      <c r="I38" s="17"/>
      <c r="J38" s="17"/>
      <c r="K38" s="17"/>
      <c r="L38" s="17"/>
      <c r="M38" s="21">
        <f t="shared" si="24"/>
        <v>3.9931586871215505</v>
      </c>
      <c r="N38" s="15">
        <f t="shared" si="23"/>
        <v>3.556945049881759</v>
      </c>
      <c r="O38" s="15">
        <f t="shared" si="23"/>
        <v>3.6486801372983222</v>
      </c>
      <c r="P38" s="15">
        <f t="shared" si="23"/>
        <v>3.9698664035946485</v>
      </c>
      <c r="Q38" s="15">
        <f t="shared" si="23"/>
        <v>4.286215032357263</v>
      </c>
      <c r="R38" s="15">
        <f t="shared" si="23"/>
        <v>4.5565062952659741</v>
      </c>
      <c r="S38" s="15">
        <f t="shared" si="23"/>
        <v>4.7883070325870563</v>
      </c>
      <c r="T38" s="15">
        <f t="shared" si="23"/>
        <v>5</v>
      </c>
      <c r="U38" s="1"/>
      <c r="V38" s="7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3">
      <c r="A39" s="3"/>
      <c r="B39" s="3"/>
      <c r="D39" s="2"/>
      <c r="E39" s="9">
        <v>0.2</v>
      </c>
      <c r="F39" s="16"/>
      <c r="G39" s="16"/>
      <c r="H39" s="16"/>
      <c r="I39" s="17"/>
      <c r="J39" s="17"/>
      <c r="K39" s="17"/>
      <c r="L39" s="17"/>
      <c r="M39" s="17"/>
      <c r="N39" s="21">
        <f t="shared" si="24"/>
        <v>3.1416989407734488</v>
      </c>
      <c r="O39" s="15">
        <f t="shared" si="23"/>
        <v>2.7264528316651413</v>
      </c>
      <c r="P39" s="15">
        <f t="shared" si="23"/>
        <v>3.5030493277843915</v>
      </c>
      <c r="Q39" s="15">
        <f t="shared" si="23"/>
        <v>4.035854174443541</v>
      </c>
      <c r="R39" s="15">
        <f t="shared" si="23"/>
        <v>4.4233877786554672</v>
      </c>
      <c r="S39" s="15">
        <f t="shared" si="23"/>
        <v>4.7298646593254965</v>
      </c>
      <c r="T39" s="15">
        <f t="shared" si="23"/>
        <v>5</v>
      </c>
      <c r="U39" s="1"/>
      <c r="V39" s="7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3">
      <c r="A40" s="3"/>
      <c r="B40" s="3"/>
      <c r="D40" s="2"/>
      <c r="E40" s="9">
        <v>0</v>
      </c>
      <c r="F40" s="16"/>
      <c r="G40" s="16"/>
      <c r="H40" s="16"/>
      <c r="I40" s="17"/>
      <c r="J40" s="17"/>
      <c r="K40" s="17"/>
      <c r="L40" s="17"/>
      <c r="M40" s="17"/>
      <c r="N40" s="17"/>
      <c r="O40" s="21">
        <f t="shared" ref="O40:T40" si="25">(O13-O14)/$B$2</f>
        <v>2.1832323911911291</v>
      </c>
      <c r="P40" s="21">
        <f t="shared" si="25"/>
        <v>3.2800239014342392</v>
      </c>
      <c r="Q40" s="21">
        <f t="shared" si="25"/>
        <v>3.9307645589770446</v>
      </c>
      <c r="R40" s="21">
        <f t="shared" si="25"/>
        <v>4.3713259855868598</v>
      </c>
      <c r="S40" s="21">
        <f t="shared" si="25"/>
        <v>4.7077638260594634</v>
      </c>
      <c r="T40" s="21">
        <f t="shared" si="25"/>
        <v>5</v>
      </c>
      <c r="U40" s="1"/>
      <c r="V40" s="7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3">
      <c r="A41" s="3"/>
      <c r="B41" s="3"/>
      <c r="D41" s="2"/>
      <c r="E41" s="16"/>
      <c r="F41" s="9">
        <v>0</v>
      </c>
      <c r="G41" s="9">
        <v>0.2</v>
      </c>
      <c r="H41" s="9">
        <v>0.4</v>
      </c>
      <c r="I41" s="18">
        <v>0.60000000000000009</v>
      </c>
      <c r="J41" s="18">
        <v>0.8</v>
      </c>
      <c r="K41" s="18">
        <v>1</v>
      </c>
      <c r="L41" s="18">
        <v>1.2</v>
      </c>
      <c r="M41" s="18">
        <v>1.4</v>
      </c>
      <c r="N41" s="18">
        <v>1.5999999999999999</v>
      </c>
      <c r="O41" s="18">
        <v>1.7999999999999998</v>
      </c>
      <c r="P41" s="18">
        <v>1.9999999999999998</v>
      </c>
      <c r="Q41" s="18">
        <v>2.1999999999999997</v>
      </c>
      <c r="R41" s="18">
        <v>2.4</v>
      </c>
      <c r="S41" s="18">
        <v>2.6</v>
      </c>
      <c r="T41" s="18">
        <v>2.8000000000000003</v>
      </c>
      <c r="U41" s="1"/>
      <c r="V41" s="7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3">
      <c r="A42" s="3"/>
      <c r="B42" s="3"/>
      <c r="D42" s="2"/>
      <c r="E42" s="3"/>
      <c r="F42" s="3"/>
      <c r="G42" s="3"/>
      <c r="H42" s="3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7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3">
      <c r="A43" s="3"/>
      <c r="B43" s="3"/>
      <c r="D43" s="2" t="s">
        <v>8</v>
      </c>
      <c r="E43" s="9">
        <v>1.9999999999999998</v>
      </c>
      <c r="F43" s="20">
        <f>-(G4-F4)/$B$2</f>
        <v>0</v>
      </c>
      <c r="G43" s="22">
        <f>-(H4-F4)/($B$2*2)</f>
        <v>0</v>
      </c>
      <c r="H43" s="22">
        <f t="shared" ref="H43:S43" si="26">-(I4-G4)/($B$2*2)</f>
        <v>0</v>
      </c>
      <c r="I43" s="15">
        <f t="shared" si="26"/>
        <v>0</v>
      </c>
      <c r="J43" s="15">
        <f t="shared" si="26"/>
        <v>0</v>
      </c>
      <c r="K43" s="15">
        <f t="shared" si="26"/>
        <v>0</v>
      </c>
      <c r="L43" s="15">
        <f t="shared" si="26"/>
        <v>0</v>
      </c>
      <c r="M43" s="15">
        <f t="shared" si="26"/>
        <v>0</v>
      </c>
      <c r="N43" s="15">
        <f t="shared" si="26"/>
        <v>0</v>
      </c>
      <c r="O43" s="15">
        <f t="shared" si="26"/>
        <v>0</v>
      </c>
      <c r="P43" s="15">
        <f t="shared" si="26"/>
        <v>0</v>
      </c>
      <c r="Q43" s="15">
        <f t="shared" si="26"/>
        <v>0</v>
      </c>
      <c r="R43" s="15">
        <f t="shared" si="26"/>
        <v>0</v>
      </c>
      <c r="S43" s="15">
        <f t="shared" si="26"/>
        <v>0</v>
      </c>
      <c r="T43" s="21">
        <f>-(T4-S4)/$B$2</f>
        <v>0</v>
      </c>
      <c r="U43" s="1"/>
      <c r="V43" s="7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3">
      <c r="A44" s="3"/>
      <c r="B44" s="3"/>
      <c r="D44" s="2"/>
      <c r="E44" s="9">
        <v>1.7999999999999998</v>
      </c>
      <c r="F44" s="20">
        <f t="shared" ref="F44:F48" si="27">-(G5-F5)/$B$2</f>
        <v>-0.1417232680594438</v>
      </c>
      <c r="G44" s="22">
        <f t="shared" ref="G44:S53" si="28">-(H5-F5)/($B$2*2)</f>
        <v>-0.16217042668804194</v>
      </c>
      <c r="H44" s="22">
        <f t="shared" si="28"/>
        <v>-0.22432093711926449</v>
      </c>
      <c r="I44" s="15">
        <f t="shared" si="28"/>
        <v>-0.32587259928663403</v>
      </c>
      <c r="J44" s="15">
        <f t="shared" si="28"/>
        <v>-0.44703491475097668</v>
      </c>
      <c r="K44" s="15">
        <f t="shared" si="28"/>
        <v>-0.53768385922744688</v>
      </c>
      <c r="L44" s="15">
        <f t="shared" si="28"/>
        <v>-0.56315539300094031</v>
      </c>
      <c r="M44" s="15">
        <f t="shared" si="28"/>
        <v>-0.53474862620350283</v>
      </c>
      <c r="N44" s="15">
        <f t="shared" si="28"/>
        <v>-0.47714327926212441</v>
      </c>
      <c r="O44" s="15">
        <f t="shared" si="28"/>
        <v>-0.41059671202443582</v>
      </c>
      <c r="P44" s="15">
        <f t="shared" si="28"/>
        <v>-0.3477552358635716</v>
      </c>
      <c r="Q44" s="15">
        <f t="shared" si="28"/>
        <v>-0.2954373371259944</v>
      </c>
      <c r="R44" s="15">
        <f t="shared" si="28"/>
        <v>-0.25690066141931034</v>
      </c>
      <c r="S44" s="15">
        <f t="shared" si="28"/>
        <v>-0.2334904394439441</v>
      </c>
      <c r="T44" s="21">
        <f t="shared" ref="T44:T53" si="29">-(T5-S5)/$B$2</f>
        <v>-0.22565588910818057</v>
      </c>
      <c r="U44" s="1"/>
      <c r="V44" s="7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3">
      <c r="A45" s="3"/>
      <c r="B45" s="3"/>
      <c r="D45" s="2"/>
      <c r="E45" s="9">
        <v>1.5999999999999999</v>
      </c>
      <c r="F45" s="20">
        <f t="shared" si="27"/>
        <v>-0.24255221886167355</v>
      </c>
      <c r="G45" s="22">
        <f t="shared" si="28"/>
        <v>-0.28263750157345502</v>
      </c>
      <c r="H45" s="22">
        <f t="shared" si="28"/>
        <v>-0.40924072250239529</v>
      </c>
      <c r="I45" s="15">
        <f t="shared" si="28"/>
        <v>-0.63213454527629498</v>
      </c>
      <c r="J45" s="15">
        <f t="shared" si="28"/>
        <v>-0.92458320048982578</v>
      </c>
      <c r="K45" s="15">
        <f t="shared" si="28"/>
        <v>-1.1405451291578705</v>
      </c>
      <c r="L45" s="15">
        <f t="shared" si="28"/>
        <v>-1.1801890865728071</v>
      </c>
      <c r="M45" s="15">
        <f t="shared" si="28"/>
        <v>-1.0986958325509533</v>
      </c>
      <c r="N45" s="15">
        <f t="shared" si="28"/>
        <v>-0.96322777882056565</v>
      </c>
      <c r="O45" s="15">
        <f t="shared" si="28"/>
        <v>-0.81748833297204504</v>
      </c>
      <c r="P45" s="15">
        <f t="shared" si="28"/>
        <v>-0.68498689430385395</v>
      </c>
      <c r="Q45" s="15">
        <f t="shared" si="28"/>
        <v>-0.57709345122110456</v>
      </c>
      <c r="R45" s="15">
        <f t="shared" si="28"/>
        <v>-0.49867486910729175</v>
      </c>
      <c r="S45" s="15">
        <f t="shared" si="28"/>
        <v>-0.4514052072482766</v>
      </c>
      <c r="T45" s="21">
        <f t="shared" si="29"/>
        <v>-0.43564267754484742</v>
      </c>
      <c r="U45" s="1"/>
      <c r="V45" s="7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3">
      <c r="A46" s="3"/>
      <c r="B46" s="3"/>
      <c r="D46" s="2"/>
      <c r="E46" s="9">
        <v>1.4</v>
      </c>
      <c r="F46" s="20">
        <f t="shared" si="27"/>
        <v>-0.2632106042403537</v>
      </c>
      <c r="G46" s="22">
        <f t="shared" si="28"/>
        <v>-0.3165866382417093</v>
      </c>
      <c r="H46" s="22">
        <f t="shared" si="28"/>
        <v>-0.49786990604056669</v>
      </c>
      <c r="I46" s="15">
        <f t="shared" si="28"/>
        <v>-0.86884165882632924</v>
      </c>
      <c r="J46" s="15">
        <f t="shared" si="28"/>
        <v>-1.4786182127741521</v>
      </c>
      <c r="K46" s="15">
        <f t="shared" si="28"/>
        <v>-1.9197243703414069</v>
      </c>
      <c r="L46" s="15">
        <f t="shared" si="28"/>
        <v>-1.9183599915814709</v>
      </c>
      <c r="M46" s="15">
        <f t="shared" si="28"/>
        <v>-1.7166178386069331</v>
      </c>
      <c r="N46" s="15">
        <f t="shared" si="28"/>
        <v>-1.4595836704971421</v>
      </c>
      <c r="O46" s="15">
        <f t="shared" si="28"/>
        <v>-1.2111419467393314</v>
      </c>
      <c r="P46" s="15">
        <f t="shared" si="28"/>
        <v>-0.9976105571586924</v>
      </c>
      <c r="Q46" s="15">
        <f t="shared" si="28"/>
        <v>-0.82927470434726258</v>
      </c>
      <c r="R46" s="15">
        <f t="shared" si="28"/>
        <v>-0.70930015654047551</v>
      </c>
      <c r="S46" s="15">
        <f t="shared" si="28"/>
        <v>-0.63781284289702755</v>
      </c>
      <c r="T46" s="21">
        <f t="shared" si="29"/>
        <v>-0.61410440657464704</v>
      </c>
      <c r="U46" s="1"/>
      <c r="V46" s="7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3">
      <c r="A47" s="3"/>
      <c r="B47" s="3"/>
      <c r="D47" s="2"/>
      <c r="E47" s="9">
        <v>1.2</v>
      </c>
      <c r="F47" s="20">
        <f t="shared" si="27"/>
        <v>-0.17711692161632264</v>
      </c>
      <c r="G47" s="22">
        <f t="shared" si="28"/>
        <v>-0.22262854111246622</v>
      </c>
      <c r="H47" s="22">
        <f t="shared" si="28"/>
        <v>-0.39681060459183293</v>
      </c>
      <c r="I47" s="15">
        <f t="shared" si="28"/>
        <v>-0.86674397121430213</v>
      </c>
      <c r="J47" s="15">
        <f t="shared" si="28"/>
        <v>-2.2013236214390486</v>
      </c>
      <c r="K47" s="15">
        <f t="shared" si="28"/>
        <v>-3.1413741478521384</v>
      </c>
      <c r="L47" s="15">
        <f t="shared" si="28"/>
        <v>-2.8569086708047386</v>
      </c>
      <c r="M47" s="15">
        <f t="shared" si="28"/>
        <v>-2.3898318597981669</v>
      </c>
      <c r="N47" s="15">
        <f t="shared" si="28"/>
        <v>-1.9473471178217405</v>
      </c>
      <c r="O47" s="15">
        <f t="shared" si="28"/>
        <v>-1.5698852263294349</v>
      </c>
      <c r="P47" s="15">
        <f t="shared" si="28"/>
        <v>-1.2650386832443195</v>
      </c>
      <c r="Q47" s="15">
        <f t="shared" si="28"/>
        <v>-1.033094652468789</v>
      </c>
      <c r="R47" s="15">
        <f t="shared" si="28"/>
        <v>-0.87143820981031572</v>
      </c>
      <c r="S47" s="15">
        <f t="shared" si="28"/>
        <v>-0.77644160122470218</v>
      </c>
      <c r="T47" s="21">
        <f t="shared" si="29"/>
        <v>-0.74514926295968564</v>
      </c>
      <c r="U47" s="1"/>
      <c r="V47" s="7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3">
      <c r="A48" s="3"/>
      <c r="B48" s="3"/>
      <c r="D48" s="2"/>
      <c r="E48" s="9">
        <v>1</v>
      </c>
      <c r="F48" s="20">
        <f t="shared" si="27"/>
        <v>0</v>
      </c>
      <c r="G48" s="22">
        <f t="shared" si="28"/>
        <v>0</v>
      </c>
      <c r="H48" s="22">
        <f t="shared" si="28"/>
        <v>0</v>
      </c>
      <c r="I48" s="15">
        <f t="shared" si="28"/>
        <v>0</v>
      </c>
      <c r="J48" s="15">
        <f t="shared" si="28"/>
        <v>-3.318558153915601</v>
      </c>
      <c r="K48" s="15">
        <f t="shared" si="28"/>
        <v>-5.5875399288233645</v>
      </c>
      <c r="L48" s="15">
        <f t="shared" si="28"/>
        <v>-3.9780686839871753</v>
      </c>
      <c r="M48" s="15">
        <f t="shared" si="28"/>
        <v>-3.0384538119592595</v>
      </c>
      <c r="N48" s="15">
        <f t="shared" si="28"/>
        <v>-2.3700877146622235</v>
      </c>
      <c r="O48" s="15">
        <f t="shared" si="28"/>
        <v>-1.856013157512344</v>
      </c>
      <c r="P48" s="15">
        <f t="shared" si="28"/>
        <v>-1.4595642970203671</v>
      </c>
      <c r="Q48" s="15">
        <f t="shared" si="28"/>
        <v>-1.1666270124732558</v>
      </c>
      <c r="R48" s="15">
        <f t="shared" si="28"/>
        <v>-0.9669164290072918</v>
      </c>
      <c r="S48" s="15">
        <f t="shared" si="28"/>
        <v>-0.85136608923177537</v>
      </c>
      <c r="T48" s="21">
        <f t="shared" si="29"/>
        <v>-0.81360944281468228</v>
      </c>
      <c r="U48" s="1"/>
      <c r="V48" s="7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3"/>
      <c r="B49" s="3"/>
      <c r="D49" s="2"/>
      <c r="E49" s="9">
        <v>0.8</v>
      </c>
      <c r="F49" s="16"/>
      <c r="G49" s="16"/>
      <c r="H49" s="16"/>
      <c r="I49" s="17"/>
      <c r="J49" s="17"/>
      <c r="K49" s="21">
        <f t="shared" ref="K49" si="30">-(L10-K10)/$B$2</f>
        <v>-5.0084561265923533</v>
      </c>
      <c r="L49" s="15">
        <f t="shared" si="28"/>
        <v>-4.4293723243613448</v>
      </c>
      <c r="M49" s="15">
        <f t="shared" si="28"/>
        <v>-3.4158269893894753</v>
      </c>
      <c r="N49" s="15">
        <f t="shared" si="28"/>
        <v>-2.6385367713555419</v>
      </c>
      <c r="O49" s="15">
        <f t="shared" si="28"/>
        <v>-2.0245153920373604</v>
      </c>
      <c r="P49" s="15">
        <f t="shared" si="28"/>
        <v>-1.5505783348515489</v>
      </c>
      <c r="Q49" s="15">
        <f t="shared" si="28"/>
        <v>-1.2069326713965667</v>
      </c>
      <c r="R49" s="15">
        <f t="shared" si="28"/>
        <v>-0.97823440451382027</v>
      </c>
      <c r="S49" s="15">
        <f t="shared" si="28"/>
        <v>-0.84849688388042077</v>
      </c>
      <c r="T49" s="21">
        <f t="shared" si="29"/>
        <v>-0.80655632983548831</v>
      </c>
      <c r="U49" s="1"/>
      <c r="V49" s="7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3"/>
      <c r="B50" s="3"/>
      <c r="D50" s="2"/>
      <c r="E50" s="9">
        <v>0.60000000000000009</v>
      </c>
      <c r="F50" s="16"/>
      <c r="G50" s="16"/>
      <c r="H50" s="16"/>
      <c r="I50" s="17"/>
      <c r="J50" s="17"/>
      <c r="K50" s="17"/>
      <c r="L50" s="21">
        <f t="shared" ref="L50" si="31">-(M11-L11)/$B$2</f>
        <v>-3.9931586871215505</v>
      </c>
      <c r="M50" s="15">
        <f t="shared" si="28"/>
        <v>-3.556945049881759</v>
      </c>
      <c r="N50" s="15">
        <f t="shared" si="28"/>
        <v>-2.7437169893331119</v>
      </c>
      <c r="O50" s="15">
        <f t="shared" si="28"/>
        <v>-2.0529333044300091</v>
      </c>
      <c r="P50" s="15">
        <f t="shared" si="28"/>
        <v>-1.5113009789518983</v>
      </c>
      <c r="Q50" s="15">
        <f t="shared" si="28"/>
        <v>-1.1322909337476361</v>
      </c>
      <c r="R50" s="15">
        <f t="shared" si="28"/>
        <v>-0.89059163377100292</v>
      </c>
      <c r="S50" s="15">
        <f t="shared" si="28"/>
        <v>-0.75783071194059581</v>
      </c>
      <c r="T50" s="21">
        <f t="shared" si="29"/>
        <v>-0.71562210876642274</v>
      </c>
      <c r="U50" s="1"/>
      <c r="V50" s="7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3"/>
      <c r="B51" s="3"/>
      <c r="D51" s="2"/>
      <c r="E51" s="9">
        <v>0.4</v>
      </c>
      <c r="F51" s="16"/>
      <c r="G51" s="16"/>
      <c r="H51" s="16"/>
      <c r="I51" s="17"/>
      <c r="J51" s="17"/>
      <c r="K51" s="17"/>
      <c r="L51" s="17"/>
      <c r="M51" s="21">
        <f t="shared" ref="M51" si="32">-(N12-M12)/$B$2</f>
        <v>-3.1416989407734488</v>
      </c>
      <c r="N51" s="15">
        <f t="shared" si="28"/>
        <v>-2.7264528316651413</v>
      </c>
      <c r="O51" s="15">
        <f t="shared" si="28"/>
        <v>-1.9321998573976669</v>
      </c>
      <c r="P51" s="15">
        <f t="shared" si="28"/>
        <v>-1.3094013427783995</v>
      </c>
      <c r="Q51" s="15">
        <f t="shared" si="28"/>
        <v>-0.92033845087107546</v>
      </c>
      <c r="R51" s="15">
        <f t="shared" si="28"/>
        <v>-0.6940104848819556</v>
      </c>
      <c r="S51" s="15">
        <f t="shared" si="28"/>
        <v>-0.57661222134453294</v>
      </c>
      <c r="T51" s="21">
        <f t="shared" si="29"/>
        <v>-0.54027068134900658</v>
      </c>
      <c r="U51" s="1"/>
      <c r="V51" s="7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3"/>
      <c r="B52" s="3"/>
      <c r="D52" s="2"/>
      <c r="E52" s="9">
        <v>0.2</v>
      </c>
      <c r="F52" s="16"/>
      <c r="G52" s="16"/>
      <c r="H52" s="16"/>
      <c r="I52" s="17"/>
      <c r="J52" s="17"/>
      <c r="K52" s="17"/>
      <c r="L52" s="17"/>
      <c r="M52" s="17"/>
      <c r="N52" s="21">
        <f t="shared" ref="N52" si="33">-(O13-N13)/$B$2</f>
        <v>-2.1832323911911291</v>
      </c>
      <c r="O52" s="15">
        <f t="shared" si="28"/>
        <v>-1.6400119507171196</v>
      </c>
      <c r="P52" s="15">
        <f t="shared" si="28"/>
        <v>-0.87376608389295751</v>
      </c>
      <c r="Q52" s="15">
        <f t="shared" si="28"/>
        <v>-0.54565104207631054</v>
      </c>
      <c r="R52" s="15">
        <f t="shared" si="28"/>
        <v>-0.38849963354120942</v>
      </c>
      <c r="S52" s="15">
        <f t="shared" si="28"/>
        <v>-0.31433700720656987</v>
      </c>
      <c r="T52" s="21">
        <f t="shared" si="29"/>
        <v>-0.29223617394053658</v>
      </c>
      <c r="U52" s="1"/>
      <c r="V52" s="7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3"/>
      <c r="B53" s="3"/>
      <c r="D53" s="2"/>
      <c r="E53" s="9">
        <v>0</v>
      </c>
      <c r="F53" s="16"/>
      <c r="G53" s="16"/>
      <c r="H53" s="16"/>
      <c r="I53" s="17"/>
      <c r="J53" s="17"/>
      <c r="K53" s="17"/>
      <c r="L53" s="17"/>
      <c r="M53" s="17"/>
      <c r="N53" s="17"/>
      <c r="O53" s="21">
        <f t="shared" ref="O53" si="34">-(P14-O14)/$B$2</f>
        <v>0</v>
      </c>
      <c r="P53" s="15">
        <f t="shared" si="28"/>
        <v>0</v>
      </c>
      <c r="Q53" s="15">
        <f t="shared" si="28"/>
        <v>0</v>
      </c>
      <c r="R53" s="15">
        <f t="shared" si="28"/>
        <v>0</v>
      </c>
      <c r="S53" s="15">
        <f t="shared" si="28"/>
        <v>0</v>
      </c>
      <c r="T53" s="21">
        <f t="shared" si="29"/>
        <v>0</v>
      </c>
      <c r="U53" s="1"/>
      <c r="V53" s="7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3"/>
      <c r="B54" s="3"/>
      <c r="D54" s="2"/>
      <c r="E54" s="16"/>
      <c r="F54" s="9">
        <v>0</v>
      </c>
      <c r="G54" s="9">
        <v>0.2</v>
      </c>
      <c r="H54" s="9">
        <v>0.4</v>
      </c>
      <c r="I54" s="18">
        <v>0.60000000000000009</v>
      </c>
      <c r="J54" s="18">
        <v>0.8</v>
      </c>
      <c r="K54" s="18">
        <v>1</v>
      </c>
      <c r="L54" s="18">
        <v>1.2</v>
      </c>
      <c r="M54" s="18">
        <v>1.4</v>
      </c>
      <c r="N54" s="18">
        <v>1.5999999999999999</v>
      </c>
      <c r="O54" s="18">
        <v>1.7999999999999998</v>
      </c>
      <c r="P54" s="18">
        <v>1.9999999999999998</v>
      </c>
      <c r="Q54" s="18">
        <v>2.1999999999999997</v>
      </c>
      <c r="R54" s="18">
        <v>2.4</v>
      </c>
      <c r="S54" s="18">
        <v>2.6</v>
      </c>
      <c r="T54" s="18">
        <v>2.8000000000000003</v>
      </c>
      <c r="U54" s="1"/>
      <c r="V54" s="7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3"/>
      <c r="B55" s="3"/>
      <c r="D55" s="2"/>
      <c r="E55" s="3"/>
      <c r="F55" s="3"/>
      <c r="G55" s="3"/>
      <c r="H55" s="3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7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3"/>
      <c r="B56" s="3"/>
      <c r="D56" s="2" t="s">
        <v>10</v>
      </c>
      <c r="E56" s="9">
        <v>1.9999999999999998</v>
      </c>
      <c r="F56" s="20">
        <f>(F30^2+F43^2)^(0.5)</f>
        <v>10</v>
      </c>
      <c r="G56" s="20">
        <f t="shared" ref="G56:T56" si="35">(G30^2+G43^2)^(0.5)</f>
        <v>9.8582767319405562</v>
      </c>
      <c r="H56" s="20">
        <f t="shared" si="35"/>
        <v>9.6756591466239161</v>
      </c>
      <c r="I56" s="21">
        <f t="shared" si="35"/>
        <v>9.4096348577020272</v>
      </c>
      <c r="J56" s="21">
        <f t="shared" si="35"/>
        <v>9.0239139480506481</v>
      </c>
      <c r="K56" s="21">
        <f t="shared" si="35"/>
        <v>8.5155650282000739</v>
      </c>
      <c r="L56" s="21">
        <f t="shared" si="35"/>
        <v>7.9485462295957543</v>
      </c>
      <c r="M56" s="21">
        <f t="shared" si="35"/>
        <v>7.3892542421981933</v>
      </c>
      <c r="N56" s="21">
        <f t="shared" si="35"/>
        <v>6.8790489771887486</v>
      </c>
      <c r="O56" s="21">
        <f t="shared" si="35"/>
        <v>6.4349676836739444</v>
      </c>
      <c r="P56" s="21">
        <f t="shared" si="35"/>
        <v>6.057855553139877</v>
      </c>
      <c r="Q56" s="21">
        <f t="shared" si="35"/>
        <v>5.7394572119468013</v>
      </c>
      <c r="R56" s="21">
        <f t="shared" si="35"/>
        <v>5.4669808788878882</v>
      </c>
      <c r="S56" s="21">
        <f t="shared" si="35"/>
        <v>5.2256558891081806</v>
      </c>
      <c r="T56" s="21">
        <f t="shared" si="35"/>
        <v>5</v>
      </c>
      <c r="U56" s="1"/>
      <c r="V56" s="7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3"/>
      <c r="B57" s="3"/>
      <c r="D57" s="2"/>
      <c r="E57" s="9">
        <v>1.7999999999999998</v>
      </c>
      <c r="F57" s="20">
        <f t="shared" ref="F57:T66" si="36">(F31^2+F44^2)^(0.5)</f>
        <v>10.001004223812199</v>
      </c>
      <c r="G57" s="22">
        <f t="shared" si="36"/>
        <v>9.8800549063957188</v>
      </c>
      <c r="H57" s="22">
        <f t="shared" si="36"/>
        <v>9.7199513274839315</v>
      </c>
      <c r="I57" s="15">
        <f t="shared" si="36"/>
        <v>9.4750886233990261</v>
      </c>
      <c r="J57" s="15">
        <f t="shared" si="36"/>
        <v>9.0962193891588328</v>
      </c>
      <c r="K57" s="15">
        <f t="shared" si="36"/>
        <v>8.5618000086646582</v>
      </c>
      <c r="L57" s="15">
        <f t="shared" si="36"/>
        <v>7.9646173273111849</v>
      </c>
      <c r="M57" s="15">
        <f t="shared" si="36"/>
        <v>7.3840992987640162</v>
      </c>
      <c r="N57" s="15">
        <f t="shared" si="36"/>
        <v>6.8625945236426604</v>
      </c>
      <c r="O57" s="15">
        <f t="shared" si="36"/>
        <v>6.4146376021928972</v>
      </c>
      <c r="P57" s="15">
        <f t="shared" si="36"/>
        <v>6.0385204958861953</v>
      </c>
      <c r="Q57" s="15">
        <f t="shared" si="36"/>
        <v>5.7241254454170782</v>
      </c>
      <c r="R57" s="15">
        <f t="shared" si="36"/>
        <v>5.4574551471772361</v>
      </c>
      <c r="S57" s="15">
        <f t="shared" si="36"/>
        <v>5.2230429166014485</v>
      </c>
      <c r="T57" s="21">
        <f t="shared" si="36"/>
        <v>5.0050894677607118</v>
      </c>
      <c r="U57" s="1"/>
      <c r="V57" s="7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3"/>
      <c r="B58" s="3"/>
      <c r="D58" s="2"/>
      <c r="E58" s="9">
        <v>1.5999999999999999</v>
      </c>
      <c r="F58" s="20">
        <f t="shared" si="36"/>
        <v>10.00294114642662</v>
      </c>
      <c r="G58" s="22">
        <f t="shared" si="36"/>
        <v>9.943274128208456</v>
      </c>
      <c r="H58" s="22">
        <f t="shared" si="36"/>
        <v>9.8540853509735502</v>
      </c>
      <c r="I58" s="15">
        <f t="shared" si="36"/>
        <v>9.6863560181451511</v>
      </c>
      <c r="J58" s="15">
        <f t="shared" si="36"/>
        <v>9.3484487958751057</v>
      </c>
      <c r="K58" s="15">
        <f t="shared" si="36"/>
        <v>8.7091297820651761</v>
      </c>
      <c r="L58" s="15">
        <f t="shared" si="36"/>
        <v>8.0080173713365301</v>
      </c>
      <c r="M58" s="15">
        <f t="shared" si="36"/>
        <v>7.3613722314916652</v>
      </c>
      <c r="N58" s="15">
        <f t="shared" si="36"/>
        <v>6.8071986090865373</v>
      </c>
      <c r="O58" s="15">
        <f t="shared" si="36"/>
        <v>6.3493256270521483</v>
      </c>
      <c r="P58" s="15">
        <f t="shared" si="36"/>
        <v>5.9775369933964697</v>
      </c>
      <c r="Q58" s="15">
        <f t="shared" si="36"/>
        <v>5.6760370567003022</v>
      </c>
      <c r="R58" s="15">
        <f t="shared" si="36"/>
        <v>5.4272808353303486</v>
      </c>
      <c r="S58" s="15">
        <f t="shared" si="36"/>
        <v>5.2138020974279096</v>
      </c>
      <c r="T58" s="21">
        <f t="shared" si="36"/>
        <v>5.0189425721458942</v>
      </c>
      <c r="U58" s="1"/>
      <c r="V58" s="7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3"/>
      <c r="B59" s="3"/>
      <c r="D59" s="2"/>
      <c r="E59" s="9">
        <v>1.4</v>
      </c>
      <c r="F59" s="20">
        <f t="shared" si="36"/>
        <v>10.003463391355245</v>
      </c>
      <c r="G59" s="22">
        <f t="shared" si="36"/>
        <v>10.037711418271503</v>
      </c>
      <c r="H59" s="22">
        <f t="shared" si="36"/>
        <v>10.072321218462815</v>
      </c>
      <c r="I59" s="15">
        <f t="shared" si="36"/>
        <v>10.082652402993954</v>
      </c>
      <c r="J59" s="15">
        <f t="shared" si="36"/>
        <v>9.9360348143588872</v>
      </c>
      <c r="K59" s="15">
        <f t="shared" si="36"/>
        <v>8.9760965367009291</v>
      </c>
      <c r="L59" s="15">
        <f t="shared" si="36"/>
        <v>8.0563024281910174</v>
      </c>
      <c r="M59" s="15">
        <f t="shared" si="36"/>
        <v>7.2964931376884374</v>
      </c>
      <c r="N59" s="15">
        <f t="shared" si="36"/>
        <v>6.6944865903046002</v>
      </c>
      <c r="O59" s="15">
        <f t="shared" si="36"/>
        <v>6.2264963541986837</v>
      </c>
      <c r="P59" s="15">
        <f t="shared" si="36"/>
        <v>5.8664829754418477</v>
      </c>
      <c r="Q59" s="15">
        <f t="shared" si="36"/>
        <v>5.5893771270061352</v>
      </c>
      <c r="R59" s="15">
        <f t="shared" si="36"/>
        <v>5.3720684386222963</v>
      </c>
      <c r="S59" s="15">
        <f t="shared" si="36"/>
        <v>5.1940626422139307</v>
      </c>
      <c r="T59" s="21">
        <f t="shared" si="36"/>
        <v>5.0375712622427882</v>
      </c>
      <c r="U59" s="1"/>
      <c r="V59" s="7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3"/>
      <c r="B60" s="3"/>
      <c r="D60" s="2"/>
      <c r="E60" s="9">
        <v>1.2</v>
      </c>
      <c r="F60" s="20">
        <f t="shared" si="36"/>
        <v>10.001568397202652</v>
      </c>
      <c r="G60" s="22">
        <f t="shared" si="36"/>
        <v>10.134050989869133</v>
      </c>
      <c r="H60" s="22">
        <f t="shared" si="36"/>
        <v>10.324215152749575</v>
      </c>
      <c r="I60" s="15">
        <f t="shared" si="36"/>
        <v>10.664754489088823</v>
      </c>
      <c r="J60" s="15">
        <f t="shared" si="36"/>
        <v>11.399983854162071</v>
      </c>
      <c r="K60" s="15">
        <f t="shared" si="36"/>
        <v>9.3340324483563748</v>
      </c>
      <c r="L60" s="15">
        <f t="shared" si="36"/>
        <v>8.0421656561321218</v>
      </c>
      <c r="M60" s="15">
        <f t="shared" si="36"/>
        <v>7.1415587964030411</v>
      </c>
      <c r="N60" s="15">
        <f t="shared" si="36"/>
        <v>6.4945985651077054</v>
      </c>
      <c r="O60" s="15">
        <f t="shared" si="36"/>
        <v>6.0273588193530543</v>
      </c>
      <c r="P60" s="15">
        <f t="shared" si="36"/>
        <v>5.6932306597087408</v>
      </c>
      <c r="Q60" s="15">
        <f t="shared" si="36"/>
        <v>5.4560686322033591</v>
      </c>
      <c r="R60" s="15">
        <f t="shared" si="36"/>
        <v>5.285881384015819</v>
      </c>
      <c r="S60" s="15">
        <f t="shared" si="36"/>
        <v>5.1585208447949338</v>
      </c>
      <c r="T60" s="21">
        <f t="shared" si="36"/>
        <v>5.0552198195616933</v>
      </c>
      <c r="U60" s="1"/>
      <c r="V60" s="7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3"/>
      <c r="B61" s="3"/>
      <c r="D61" s="2"/>
      <c r="E61" s="9">
        <v>1</v>
      </c>
      <c r="F61" s="20">
        <f t="shared" si="36"/>
        <v>10</v>
      </c>
      <c r="G61" s="20">
        <f t="shared" si="36"/>
        <v>10.177116921616323</v>
      </c>
      <c r="H61" s="20">
        <f t="shared" si="36"/>
        <v>10.445257082224932</v>
      </c>
      <c r="I61" s="21">
        <f t="shared" si="36"/>
        <v>10.970738130799988</v>
      </c>
      <c r="J61" s="21">
        <f t="shared" si="36"/>
        <v>12.622783314168194</v>
      </c>
      <c r="K61" s="15">
        <f t="shared" si="36"/>
        <v>9.5029388569063329</v>
      </c>
      <c r="L61" s="15">
        <f t="shared" si="36"/>
        <v>7.8147989666227922</v>
      </c>
      <c r="M61" s="15">
        <f t="shared" si="36"/>
        <v>6.8275909542710327</v>
      </c>
      <c r="N61" s="15">
        <f t="shared" si="36"/>
        <v>6.17359567645412</v>
      </c>
      <c r="O61" s="15">
        <f t="shared" si="36"/>
        <v>5.7318531868116969</v>
      </c>
      <c r="P61" s="15">
        <f t="shared" si="36"/>
        <v>5.4451560554987903</v>
      </c>
      <c r="Q61" s="15">
        <f t="shared" si="36"/>
        <v>5.2682940353481875</v>
      </c>
      <c r="R61" s="15">
        <f t="shared" si="36"/>
        <v>5.1633973477740405</v>
      </c>
      <c r="S61" s="15">
        <f t="shared" si="36"/>
        <v>5.1022350258723268</v>
      </c>
      <c r="T61" s="21">
        <f t="shared" si="36"/>
        <v>5.0657635481176202</v>
      </c>
      <c r="U61" s="1"/>
      <c r="V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3"/>
      <c r="B62" s="3"/>
      <c r="D62" s="2"/>
      <c r="E62" s="9">
        <v>0.8</v>
      </c>
      <c r="F62" s="16"/>
      <c r="G62" s="16"/>
      <c r="H62" s="16"/>
      <c r="I62" s="17"/>
      <c r="J62" s="17"/>
      <c r="K62" s="21">
        <f t="shared" si="36"/>
        <v>8.3148028031745511</v>
      </c>
      <c r="L62" s="15">
        <f t="shared" si="36"/>
        <v>7.1302132958287885</v>
      </c>
      <c r="M62" s="15">
        <f t="shared" si="36"/>
        <v>6.3054244475469288</v>
      </c>
      <c r="N62" s="15">
        <f t="shared" si="36"/>
        <v>5.7146418019434178</v>
      </c>
      <c r="O62" s="15">
        <f t="shared" si="36"/>
        <v>5.3261861634478826</v>
      </c>
      <c r="P62" s="15">
        <f t="shared" si="36"/>
        <v>5.1129179263515336</v>
      </c>
      <c r="Q62" s="15">
        <f t="shared" si="36"/>
        <v>5.0218728147637881</v>
      </c>
      <c r="R62" s="15">
        <f t="shared" si="36"/>
        <v>5.0030328445921395</v>
      </c>
      <c r="S62" s="15">
        <f t="shared" si="36"/>
        <v>5.0231873020147226</v>
      </c>
      <c r="T62" s="21">
        <f t="shared" si="36"/>
        <v>5.0646355360674962</v>
      </c>
      <c r="U62" s="1"/>
      <c r="V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3"/>
      <c r="B63" s="3"/>
      <c r="D63" s="2"/>
      <c r="E63" s="9">
        <v>0.60000000000000009</v>
      </c>
      <c r="F63" s="16"/>
      <c r="G63" s="16"/>
      <c r="H63" s="16"/>
      <c r="I63" s="17"/>
      <c r="J63" s="17"/>
      <c r="K63" s="17"/>
      <c r="L63" s="21">
        <f t="shared" si="36"/>
        <v>6.4054624401782876</v>
      </c>
      <c r="M63" s="15">
        <f t="shared" si="36"/>
        <v>5.6807743552878929</v>
      </c>
      <c r="N63" s="15">
        <f t="shared" si="36"/>
        <v>5.142331389035065</v>
      </c>
      <c r="O63" s="15">
        <f t="shared" si="36"/>
        <v>4.8023720852420473</v>
      </c>
      <c r="P63" s="15">
        <f t="shared" si="36"/>
        <v>4.6916031888036587</v>
      </c>
      <c r="Q63" s="15">
        <f t="shared" si="36"/>
        <v>4.7204459872758786</v>
      </c>
      <c r="R63" s="15">
        <f t="shared" si="36"/>
        <v>4.8112605523403396</v>
      </c>
      <c r="S63" s="15">
        <f t="shared" si="36"/>
        <v>4.9255056752759359</v>
      </c>
      <c r="T63" s="21">
        <f t="shared" si="36"/>
        <v>5.0509518907385464</v>
      </c>
      <c r="U63" s="1"/>
      <c r="V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3"/>
      <c r="B64" s="3"/>
      <c r="D64" s="2"/>
      <c r="E64" s="9">
        <v>0.4</v>
      </c>
      <c r="F64" s="16"/>
      <c r="G64" s="16"/>
      <c r="H64" s="16"/>
      <c r="I64" s="17"/>
      <c r="J64" s="17"/>
      <c r="K64" s="17"/>
      <c r="L64" s="17"/>
      <c r="M64" s="21">
        <f t="shared" si="36"/>
        <v>5.0809043028767347</v>
      </c>
      <c r="N64" s="15">
        <f t="shared" si="36"/>
        <v>4.4816741437964023</v>
      </c>
      <c r="O64" s="15">
        <f t="shared" si="36"/>
        <v>4.1287120307963923</v>
      </c>
      <c r="P64" s="15">
        <f t="shared" si="36"/>
        <v>4.1802357755106812</v>
      </c>
      <c r="Q64" s="15">
        <f t="shared" si="36"/>
        <v>4.3839094616286438</v>
      </c>
      <c r="R64" s="15">
        <f t="shared" si="36"/>
        <v>4.6090563211925</v>
      </c>
      <c r="S64" s="15">
        <f t="shared" si="36"/>
        <v>4.8229001536551159</v>
      </c>
      <c r="T64" s="21">
        <f t="shared" si="36"/>
        <v>5.0291045335253592</v>
      </c>
      <c r="U64" s="1"/>
      <c r="V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3"/>
      <c r="B65" s="3"/>
      <c r="D65" s="2"/>
      <c r="E65" s="9">
        <v>0.2</v>
      </c>
      <c r="F65" s="16"/>
      <c r="G65" s="16"/>
      <c r="H65" s="16"/>
      <c r="I65" s="17"/>
      <c r="J65" s="17"/>
      <c r="K65" s="17"/>
      <c r="L65" s="17"/>
      <c r="M65" s="17"/>
      <c r="N65" s="21">
        <f t="shared" si="36"/>
        <v>3.8258039558245982</v>
      </c>
      <c r="O65" s="15">
        <f t="shared" si="36"/>
        <v>3.1816951836701515</v>
      </c>
      <c r="P65" s="15">
        <f t="shared" si="36"/>
        <v>3.6103769557003758</v>
      </c>
      <c r="Q65" s="15">
        <f t="shared" si="36"/>
        <v>4.0725733851082806</v>
      </c>
      <c r="R65" s="15">
        <f t="shared" si="36"/>
        <v>4.4404156793728449</v>
      </c>
      <c r="S65" s="15">
        <f t="shared" si="36"/>
        <v>4.740298244798093</v>
      </c>
      <c r="T65" s="21">
        <f t="shared" si="36"/>
        <v>5.0085329170685702</v>
      </c>
      <c r="U65" s="1"/>
      <c r="V65" s="7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3"/>
      <c r="B66" s="3"/>
      <c r="D66" s="2"/>
      <c r="E66" s="9">
        <v>0</v>
      </c>
      <c r="F66" s="16"/>
      <c r="G66" s="16"/>
      <c r="H66" s="16"/>
      <c r="I66" s="17"/>
      <c r="J66" s="17"/>
      <c r="K66" s="17"/>
      <c r="L66" s="17"/>
      <c r="M66" s="17"/>
      <c r="N66" s="17"/>
      <c r="O66" s="21">
        <f t="shared" si="36"/>
        <v>2.1832323911911291</v>
      </c>
      <c r="P66" s="21">
        <f t="shared" si="36"/>
        <v>3.2800239014342392</v>
      </c>
      <c r="Q66" s="21">
        <f t="shared" si="36"/>
        <v>3.9307645589770446</v>
      </c>
      <c r="R66" s="21">
        <f t="shared" si="36"/>
        <v>4.3713259855868598</v>
      </c>
      <c r="S66" s="21">
        <f t="shared" si="36"/>
        <v>4.7077638260594634</v>
      </c>
      <c r="T66" s="21">
        <f t="shared" si="36"/>
        <v>5</v>
      </c>
      <c r="U66" s="1"/>
      <c r="V66" s="7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3"/>
      <c r="B67" s="3"/>
      <c r="D67" s="2"/>
      <c r="E67" s="16"/>
      <c r="F67" s="9">
        <v>0</v>
      </c>
      <c r="G67" s="9">
        <v>0.2</v>
      </c>
      <c r="H67" s="9">
        <v>0.4</v>
      </c>
      <c r="I67" s="18">
        <v>0.60000000000000009</v>
      </c>
      <c r="J67" s="18">
        <v>0.8</v>
      </c>
      <c r="K67" s="18">
        <v>1</v>
      </c>
      <c r="L67" s="18">
        <v>1.2</v>
      </c>
      <c r="M67" s="18">
        <v>1.4</v>
      </c>
      <c r="N67" s="18">
        <v>1.5999999999999999</v>
      </c>
      <c r="O67" s="18">
        <v>1.7999999999999998</v>
      </c>
      <c r="P67" s="18">
        <v>1.9999999999999998</v>
      </c>
      <c r="Q67" s="18">
        <v>2.1999999999999997</v>
      </c>
      <c r="R67" s="18">
        <v>2.4</v>
      </c>
      <c r="S67" s="18">
        <v>2.6</v>
      </c>
      <c r="T67" s="18">
        <v>2.8000000000000003</v>
      </c>
      <c r="U67" s="1"/>
      <c r="V67" s="7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</sheetData>
  <conditionalFormatting sqref="O27:T27 N26:T26 M25:T25 L24:T24 K23:T23 F17:T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2021-11-15T17:28:53Z</dcterms:created>
  <dcterms:modified xsi:type="dcterms:W3CDTF">2021-11-15T17:35:47Z</dcterms:modified>
</cp:coreProperties>
</file>