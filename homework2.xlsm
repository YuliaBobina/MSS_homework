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razer\OneDrive\Рабочий стол\"/>
    </mc:Choice>
  </mc:AlternateContent>
  <xr:revisionPtr revIDLastSave="0" documentId="13_ncr:1_{B4B758C4-0273-424B-BE1F-FA3E3BFAD2EF}" xr6:coauthVersionLast="47" xr6:coauthVersionMax="47" xr10:uidLastSave="{00000000-0000-0000-0000-000000000000}"/>
  <bookViews>
    <workbookView xWindow="17235" yWindow="1725" windowWidth="20970" windowHeight="14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C5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 l="1"/>
  <c r="I15" i="1"/>
  <c r="Q15" i="1"/>
  <c r="Y15" i="1"/>
  <c r="AG15" i="1"/>
  <c r="J15" i="1"/>
  <c r="R15" i="1"/>
  <c r="Z15" i="1"/>
  <c r="AH15" i="1"/>
  <c r="K15" i="1"/>
  <c r="S15" i="1"/>
  <c r="AA15" i="1"/>
  <c r="AI15" i="1"/>
  <c r="L15" i="1"/>
  <c r="T15" i="1"/>
  <c r="U15" i="1"/>
  <c r="AD15" i="1"/>
  <c r="O15" i="1"/>
  <c r="W15" i="1"/>
  <c r="AE15" i="1"/>
  <c r="H15" i="1"/>
  <c r="P15" i="1"/>
  <c r="X15" i="1"/>
  <c r="AF15" i="1"/>
  <c r="AB15" i="1"/>
  <c r="M15" i="1"/>
  <c r="AC15" i="1"/>
  <c r="N15" i="1"/>
  <c r="V15" i="1"/>
</calcChain>
</file>

<file path=xl/sharedStrings.xml><?xml version="1.0" encoding="utf-8"?>
<sst xmlns="http://schemas.openxmlformats.org/spreadsheetml/2006/main" count="13" uniqueCount="13">
  <si>
    <t xml:space="preserve"> L</t>
  </si>
  <si>
    <t>dx</t>
  </si>
  <si>
    <t>dt</t>
  </si>
  <si>
    <t>t</t>
  </si>
  <si>
    <t>Cp</t>
  </si>
  <si>
    <t>r0</t>
  </si>
  <si>
    <t>lamda</t>
  </si>
  <si>
    <t>L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</si>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</sst>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9B-4727-98C9-88383B6BA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18</xdr:row>
      <xdr:rowOff>14287</xdr:rowOff>
    </xdr:from>
    <xdr:to>
      <xdr:col>15</xdr:col>
      <xdr:colOff>457199</xdr:colOff>
      <xdr:row>40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EC98DD-A73A-4806-8EEE-1579B4AED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61912</xdr:colOff>
      <xdr:row>18</xdr:row>
      <xdr:rowOff>80962</xdr:rowOff>
    </xdr:from>
    <xdr:ext cx="524311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14</xdr:col>
      <xdr:colOff>381000</xdr:colOff>
      <xdr:row>38</xdr:row>
      <xdr:rowOff>95250</xdr:rowOff>
    </xdr:from>
    <xdr:ext cx="48167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16"/>
  <sheetViews>
    <sheetView tabSelected="1" workbookViewId="0">
      <selection activeCell="G13" sqref="G13:AI13"/>
    </sheetView>
  </sheetViews>
  <sheetFormatPr defaultRowHeight="15" x14ac:dyDescent="0.25"/>
  <cols>
    <col min="3" max="3" width="9.5703125" bestFit="1" customWidth="1"/>
    <col min="5" max="5" width="9.140625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5000</v>
      </c>
      <c r="D6" s="3">
        <v>5000.2333333333345</v>
      </c>
      <c r="E6" s="3"/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11</v>
      </c>
      <c r="C12" s="5">
        <v>92000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D13" s="3"/>
      <c r="E13" s="3" t="s">
        <v>8</v>
      </c>
      <c r="F13" s="3">
        <f>(F16/C10)*C4+G13</f>
        <v>299.99997763108735</v>
      </c>
      <c r="G13" s="3">
        <v>293.33331096442066</v>
      </c>
      <c r="H13" s="3">
        <v>286.6666443611611</v>
      </c>
      <c r="I13" s="3">
        <v>279.99997782112894</v>
      </c>
      <c r="J13" s="3">
        <v>273.33331134396514</v>
      </c>
      <c r="K13" s="3">
        <v>266.66664492913264</v>
      </c>
      <c r="L13" s="3">
        <v>259.99997857591751</v>
      </c>
      <c r="M13" s="3">
        <v>253.3333122834313</v>
      </c>
      <c r="N13" s="3">
        <v>246.66664605061328</v>
      </c>
      <c r="O13" s="3">
        <v>239.99997987623377</v>
      </c>
      <c r="P13" s="3">
        <v>233.33331375889719</v>
      </c>
      <c r="Q13" s="3">
        <v>226.66664769704656</v>
      </c>
      <c r="R13" s="3">
        <v>219.9999816889673</v>
      </c>
      <c r="S13" s="3">
        <v>213.33331573279273</v>
      </c>
      <c r="T13" s="3">
        <v>206.66664982650872</v>
      </c>
      <c r="U13" s="3">
        <v>199.99998396796005</v>
      </c>
      <c r="V13" s="3">
        <v>193.33331815485587</v>
      </c>
      <c r="W13" s="3">
        <v>186.6666523847768</v>
      </c>
      <c r="X13" s="3">
        <v>179.99998665518126</v>
      </c>
      <c r="Y13" s="3">
        <v>173.33332096341309</v>
      </c>
      <c r="Z13" s="3">
        <v>166.66665530670878</v>
      </c>
      <c r="AA13" s="3">
        <v>159.9999896822055</v>
      </c>
      <c r="AB13" s="3">
        <v>153.33332408694912</v>
      </c>
      <c r="AC13" s="3">
        <v>146.66665851790265</v>
      </c>
      <c r="AD13" s="3">
        <v>139.99999297195473</v>
      </c>
      <c r="AE13" s="3">
        <v>133.33332744592857</v>
      </c>
      <c r="AF13" s="3">
        <v>126.66666193659087</v>
      </c>
      <c r="AG13" s="3">
        <v>119.99999644066111</v>
      </c>
      <c r="AH13" s="3">
        <v>113.3333309548207</v>
      </c>
      <c r="AI13" s="3">
        <v>106.66666547572241</v>
      </c>
      <c r="AJ13" s="3">
        <v>100</v>
      </c>
    </row>
    <row r="14" spans="1:36" x14ac:dyDescent="0.25">
      <c r="B14" s="3"/>
      <c r="C14" s="3"/>
      <c r="D14" s="3"/>
      <c r="E14" s="3"/>
    </row>
    <row r="15" spans="1:36" x14ac:dyDescent="0.25">
      <c r="B15" s="3"/>
      <c r="C15" s="3"/>
      <c r="D15" s="3"/>
      <c r="E15" s="3" t="s">
        <v>10</v>
      </c>
      <c r="G15" s="3">
        <f t="shared" ref="G15:AI15" si="1">G13+(($C$10*$C$5)/($C$9*$C$8))*((H13-2*G13+F13)/($C$4^2))</f>
        <v>293.33331099612423</v>
      </c>
      <c r="H15" s="3">
        <f t="shared" si="1"/>
        <v>286.6666443927748</v>
      </c>
      <c r="I15" s="3">
        <f t="shared" si="1"/>
        <v>279.99997785256312</v>
      </c>
      <c r="J15" s="3">
        <f t="shared" si="1"/>
        <v>273.33331137513079</v>
      </c>
      <c r="K15" s="3">
        <f t="shared" si="1"/>
        <v>266.66664495994132</v>
      </c>
      <c r="L15" s="3">
        <f t="shared" si="1"/>
        <v>259.99997860628196</v>
      </c>
      <c r="M15" s="3">
        <f t="shared" si="1"/>
        <v>253.3333123132654</v>
      </c>
      <c r="N15" s="3">
        <f t="shared" si="1"/>
        <v>246.66664607983253</v>
      </c>
      <c r="O15" s="3">
        <f t="shared" si="1"/>
        <v>239.99997990475524</v>
      </c>
      <c r="P15" s="3">
        <f t="shared" si="1"/>
        <v>233.33331378664016</v>
      </c>
      <c r="Q15" s="3">
        <f t="shared" si="1"/>
        <v>226.66664772393224</v>
      </c>
      <c r="R15" s="3">
        <f t="shared" si="1"/>
        <v>219.99998171491964</v>
      </c>
      <c r="S15" s="3">
        <f t="shared" si="1"/>
        <v>213.33331575773801</v>
      </c>
      <c r="T15" s="3">
        <f t="shared" si="1"/>
        <v>206.66664985037639</v>
      </c>
      <c r="U15" s="3">
        <f t="shared" si="1"/>
        <v>199.9999839906823</v>
      </c>
      <c r="V15" s="3">
        <f t="shared" si="1"/>
        <v>193.33331817636844</v>
      </c>
      <c r="W15" s="3">
        <f t="shared" si="1"/>
        <v>186.66665240501857</v>
      </c>
      <c r="X15" s="3">
        <f t="shared" si="1"/>
        <v>179.99998667409494</v>
      </c>
      <c r="Y15" s="3">
        <f t="shared" si="1"/>
        <v>173.33332098094502</v>
      </c>
      <c r="Z15" s="3">
        <f t="shared" si="1"/>
        <v>166.66665532280928</v>
      </c>
      <c r="AA15" s="3">
        <f t="shared" si="1"/>
        <v>159.99998969682895</v>
      </c>
      <c r="AB15" s="3">
        <f t="shared" si="1"/>
        <v>153.33332410005409</v>
      </c>
      <c r="AC15" s="3">
        <f t="shared" si="1"/>
        <v>146.66665852945192</v>
      </c>
      <c r="AD15" s="3">
        <f t="shared" si="1"/>
        <v>139.99999298191563</v>
      </c>
      <c r="AE15" s="3">
        <f t="shared" si="1"/>
        <v>133.33332745427279</v>
      </c>
      <c r="AF15" s="3">
        <f t="shared" si="1"/>
        <v>126.66666194329484</v>
      </c>
      <c r="AG15" s="3">
        <f t="shared" si="1"/>
        <v>119.99999644570579</v>
      </c>
      <c r="AH15" s="3">
        <f t="shared" si="1"/>
        <v>113.33333095819177</v>
      </c>
      <c r="AI15" s="3">
        <f t="shared" si="1"/>
        <v>106.66666547741035</v>
      </c>
    </row>
    <row r="16" spans="1:36" x14ac:dyDescent="0.25">
      <c r="E16" s="8" t="s">
        <v>12</v>
      </c>
      <c r="F16" s="3">
        <v>92000</v>
      </c>
      <c r="G16" s="3">
        <f>-$C$10*((G13-F13)/$C$4)</f>
        <v>92000.000000000247</v>
      </c>
      <c r="H16" s="3">
        <f t="shared" ref="H16:AJ16" si="2">-$C$10*((H13-G13)/$C$4)</f>
        <v>91999.999124981885</v>
      </c>
      <c r="I16" s="3">
        <f t="shared" si="2"/>
        <v>91999.998252443896</v>
      </c>
      <c r="J16" s="3">
        <f t="shared" si="2"/>
        <v>91999.997384860442</v>
      </c>
      <c r="K16" s="3">
        <f t="shared" si="2"/>
        <v>91999.996524688366</v>
      </c>
      <c r="L16" s="3">
        <f t="shared" si="2"/>
        <v>91999.995674368853</v>
      </c>
      <c r="M16" s="3">
        <f t="shared" si="2"/>
        <v>91999.994836309721</v>
      </c>
      <c r="N16" s="3">
        <f t="shared" si="2"/>
        <v>91999.994012888623</v>
      </c>
      <c r="O16" s="3">
        <f t="shared" si="2"/>
        <v>91999.993206437299</v>
      </c>
      <c r="P16" s="3">
        <f t="shared" si="2"/>
        <v>91999.992419244736</v>
      </c>
      <c r="Q16" s="3">
        <f t="shared" si="2"/>
        <v>91999.991653538746</v>
      </c>
      <c r="R16" s="3">
        <f t="shared" si="2"/>
        <v>91999.990911493791</v>
      </c>
      <c r="S16" s="3">
        <f t="shared" si="2"/>
        <v>91999.990195209044</v>
      </c>
      <c r="T16" s="3">
        <f t="shared" si="2"/>
        <v>91999.989506719328</v>
      </c>
      <c r="U16" s="3">
        <f t="shared" si="2"/>
        <v>91999.988847971617</v>
      </c>
      <c r="V16" s="3">
        <f t="shared" si="2"/>
        <v>91999.988220837593</v>
      </c>
      <c r="W16" s="3">
        <f t="shared" si="2"/>
        <v>91999.987627091265</v>
      </c>
      <c r="X16" s="3">
        <f t="shared" si="2"/>
        <v>91999.987068418384</v>
      </c>
      <c r="Y16" s="3">
        <f t="shared" si="2"/>
        <v>91999.986546400789</v>
      </c>
      <c r="Z16" s="3">
        <f t="shared" si="2"/>
        <v>91999.986062519471</v>
      </c>
      <c r="AA16" s="3">
        <f t="shared" si="2"/>
        <v>91999.985618145278</v>
      </c>
      <c r="AB16" s="3">
        <f t="shared" si="2"/>
        <v>91999.985214537985</v>
      </c>
      <c r="AC16" s="3">
        <f t="shared" si="2"/>
        <v>91999.984852841313</v>
      </c>
      <c r="AD16" s="3">
        <f t="shared" si="2"/>
        <v>91999.984534081304</v>
      </c>
      <c r="AE16" s="3">
        <f t="shared" si="2"/>
        <v>91999.984259160876</v>
      </c>
      <c r="AF16" s="3">
        <f t="shared" si="2"/>
        <v>91999.984028860315</v>
      </c>
      <c r="AG16" s="3">
        <f t="shared" si="2"/>
        <v>91999.98384383072</v>
      </c>
      <c r="AH16" s="3">
        <f t="shared" si="2"/>
        <v>91999.983704597675</v>
      </c>
      <c r="AI16" s="3">
        <f t="shared" si="2"/>
        <v>91999.983611556323</v>
      </c>
    </row>
  </sheetData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Frazer</cp:lastModifiedBy>
  <dcterms:created xsi:type="dcterms:W3CDTF">2015-06-05T18:17:20Z</dcterms:created>
  <dcterms:modified xsi:type="dcterms:W3CDTF">2021-09-15T23:04:49Z</dcterms:modified>
</cp:coreProperties>
</file>